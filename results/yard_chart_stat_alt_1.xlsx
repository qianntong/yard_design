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Desktop/proj phase 1 results/alt 1/"/>
    </mc:Choice>
  </mc:AlternateContent>
  <xr:revisionPtr revIDLastSave="0" documentId="13_ncr:1_{4F30746F-7CA3-E849-A576-746E8EBE329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ummary" sheetId="1" r:id="rId1"/>
    <sheet name="ITHEST" sheetId="2" r:id="rId2"/>
    <sheet name="ITHSEL" sheetId="3" r:id="rId3"/>
    <sheet name="ITHNAS" sheetId="4" r:id="rId4"/>
    <sheet name="ITHEFI" sheetId="5" r:id="rId5"/>
    <sheet name="LO29" sheetId="6" r:id="rId6"/>
    <sheet name="ITHCHG" sheetId="7" r:id="rId7"/>
    <sheet name="LO26" sheetId="8" r:id="rId8"/>
    <sheet name="ITHESU" sheetId="9" r:id="rId9"/>
    <sheet name="LO27" sheetId="10" r:id="rId10"/>
    <sheet name="LO76" sheetId="11" r:id="rId11"/>
    <sheet name="ITHWIL" sheetId="12" r:id="rId12"/>
    <sheet name="LO21" sheetId="13" r:id="rId13"/>
    <sheet name="OLIR" sheetId="14" r:id="rId14"/>
    <sheet name="ITHCIN" sheetId="15" r:id="rId15"/>
    <sheet name="ITHCBL" sheetId="16" r:id="rId16"/>
    <sheet name="ITHWAX" sheetId="17" r:id="rId17"/>
    <sheet name="ITHBIR" sheetId="18" r:id="rId18"/>
    <sheet name="ITHTOL" sheetId="19" r:id="rId19"/>
    <sheet name="ITHSAU" sheetId="20" r:id="rId20"/>
    <sheet name="ITHALS" sheetId="21" r:id="rId21"/>
    <sheet name="ONRD" sheetId="22" r:id="rId22"/>
    <sheet name="ITHCBLB" sheetId="23" r:id="rId23"/>
    <sheet name="ITHDTR" sheetId="24" r:id="rId24"/>
    <sheet name="ITHRU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N26" i="16"/>
  <c r="P26" i="16" s="1"/>
  <c r="P25" i="16" s="1"/>
  <c r="P24" i="16" s="1"/>
  <c r="P23" i="16" s="1"/>
  <c r="P22" i="16" s="1"/>
  <c r="P21" i="16" s="1"/>
  <c r="P20" i="16" s="1"/>
  <c r="P19" i="16" s="1"/>
  <c r="P18" i="16" s="1"/>
  <c r="P17" i="16" s="1"/>
  <c r="P16" i="16" s="1"/>
  <c r="P15" i="16" s="1"/>
  <c r="P26" i="23"/>
  <c r="L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N2" i="16"/>
  <c r="P25" i="23"/>
  <c r="P24" i="23" s="1"/>
  <c r="P23" i="23" s="1"/>
  <c r="P22" i="23" s="1"/>
  <c r="P21" i="23" s="1"/>
  <c r="P20" i="23" s="1"/>
  <c r="P19" i="23" s="1"/>
  <c r="P18" i="23" s="1"/>
  <c r="P17" i="23" s="1"/>
  <c r="P16" i="23" s="1"/>
  <c r="P15" i="23" s="1"/>
  <c r="L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N3" i="23"/>
  <c r="N2" i="23"/>
  <c r="P14" i="16" l="1"/>
  <c r="P13" i="16" s="1"/>
  <c r="P12" i="16" s="1"/>
  <c r="P11" i="16" s="1"/>
  <c r="P10" i="16" s="1"/>
  <c r="P9" i="16" s="1"/>
  <c r="P8" i="16" s="1"/>
  <c r="P7" i="16" s="1"/>
  <c r="P6" i="16" s="1"/>
  <c r="P5" i="16" s="1"/>
  <c r="P4" i="16" s="1"/>
  <c r="P3" i="16" s="1"/>
  <c r="P2" i="16" s="1"/>
  <c r="N26" i="23"/>
  <c r="P14" i="23"/>
  <c r="P13" i="23" s="1"/>
  <c r="P12" i="23" s="1"/>
  <c r="P11" i="23" s="1"/>
  <c r="P10" i="23" s="1"/>
  <c r="P9" i="23" s="1"/>
  <c r="P8" i="23" s="1"/>
  <c r="P7" i="23" s="1"/>
  <c r="P6" i="23" s="1"/>
  <c r="P5" i="23" s="1"/>
  <c r="P4" i="23" s="1"/>
  <c r="P3" i="23" s="1"/>
  <c r="P2" i="23" s="1"/>
</calcChain>
</file>

<file path=xl/sharedStrings.xml><?xml version="1.0" encoding="utf-8"?>
<sst xmlns="http://schemas.openxmlformats.org/spreadsheetml/2006/main" count="2133" uniqueCount="104">
  <si>
    <t>Train</t>
  </si>
  <si>
    <t>DEPT_TIME</t>
  </si>
  <si>
    <t>TOTAL_CAR</t>
  </si>
  <si>
    <t>TOTAL_CAR_HOURS</t>
  </si>
  <si>
    <t>AVG_CAR_HOURS</t>
  </si>
  <si>
    <t>MIN_CAR_HOURS</t>
  </si>
  <si>
    <t>MIN_CAR_HOURS_TIME</t>
  </si>
  <si>
    <t>ITHEST</t>
  </si>
  <si>
    <t>01:00</t>
  </si>
  <si>
    <t>17:00</t>
  </si>
  <si>
    <t>ITHSEL</t>
  </si>
  <si>
    <t>02:00</t>
  </si>
  <si>
    <t>3:00</t>
  </si>
  <si>
    <t>ITHNAS</t>
  </si>
  <si>
    <t>03:30</t>
  </si>
  <si>
    <t>13:00</t>
  </si>
  <si>
    <t>ITHEFI</t>
  </si>
  <si>
    <t>06:00</t>
  </si>
  <si>
    <t>0:00</t>
  </si>
  <si>
    <t>LO29</t>
  </si>
  <si>
    <t>07:00</t>
  </si>
  <si>
    <t>19:00</t>
  </si>
  <si>
    <t>ITHCHG</t>
  </si>
  <si>
    <t>22:00</t>
  </si>
  <si>
    <t>LO26</t>
  </si>
  <si>
    <t>07:30</t>
  </si>
  <si>
    <t>23:00</t>
  </si>
  <si>
    <t>ITHESU</t>
  </si>
  <si>
    <t>08:30</t>
  </si>
  <si>
    <t>20:00</t>
  </si>
  <si>
    <t>LO27</t>
  </si>
  <si>
    <t>09:00</t>
  </si>
  <si>
    <t>LO76</t>
  </si>
  <si>
    <t>10:30</t>
  </si>
  <si>
    <t>16:00</t>
  </si>
  <si>
    <t>ITHWIL</t>
  </si>
  <si>
    <t>11:00</t>
  </si>
  <si>
    <t>21:00</t>
  </si>
  <si>
    <t>LO21</t>
  </si>
  <si>
    <t>OLIR</t>
  </si>
  <si>
    <t>14:00</t>
  </si>
  <si>
    <t>2:00</t>
  </si>
  <si>
    <t>ITHCIN</t>
  </si>
  <si>
    <t>8:00</t>
  </si>
  <si>
    <t>ITHCBL</t>
  </si>
  <si>
    <t>14:30</t>
  </si>
  <si>
    <t>10:00</t>
  </si>
  <si>
    <t>ITHWAX</t>
  </si>
  <si>
    <t>12:00</t>
  </si>
  <si>
    <t>ITHBIR</t>
  </si>
  <si>
    <t>ITHTOL</t>
  </si>
  <si>
    <t>ITHSAU</t>
  </si>
  <si>
    <t>18:00</t>
  </si>
  <si>
    <t>ITHALS</t>
  </si>
  <si>
    <t>ONRD</t>
  </si>
  <si>
    <t>22:30</t>
  </si>
  <si>
    <t>ITHCBLB</t>
  </si>
  <si>
    <t>ITHDTR</t>
  </si>
  <si>
    <t>23:30</t>
  </si>
  <si>
    <t>ITHRUS</t>
  </si>
  <si>
    <t>Time</t>
  </si>
  <si>
    <t>CAR_ARRIVING</t>
  </si>
  <si>
    <t>DWELL_HOURS</t>
  </si>
  <si>
    <t>CAR_ARRIVING_X_DWELL</t>
  </si>
  <si>
    <t>CAR_HOURS</t>
  </si>
  <si>
    <t>DEPARTURE_TIME</t>
  </si>
  <si>
    <t>1:00</t>
  </si>
  <si>
    <t>4:00</t>
  </si>
  <si>
    <t>5:00</t>
  </si>
  <si>
    <t>6:00</t>
  </si>
  <si>
    <t>7:00</t>
  </si>
  <si>
    <t>9:00</t>
  </si>
  <si>
    <t>15:00</t>
  </si>
  <si>
    <t>23:00:00</t>
  </si>
  <si>
    <t>23:45:00</t>
  </si>
  <si>
    <t>CARRY</t>
  </si>
  <si>
    <t>CAR ARRIVING</t>
  </si>
  <si>
    <t>DWELL HOURS</t>
  </si>
  <si>
    <t>CARS X DWELL</t>
  </si>
  <si>
    <t>CAR-HOURS</t>
  </si>
  <si>
    <t>12 MID</t>
  </si>
  <si>
    <t>1AM</t>
  </si>
  <si>
    <t>2AM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</si>
  <si>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</si>
  <si>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</si>
  <si>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</si>
  <si>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</si>
  <si>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</si>
  <si>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</si>
  <si>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</si>
  <si>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</si>
  <si>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</si>
  <si>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12N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</si>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</sst>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18" fontId="2" fillId="0" borderId="5" xfId="0" applyNumberFormat="1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83203125" style="15"/>
    <col min="2" max="2" width="9.5" style="15" bestFit="1" customWidth="1"/>
    <col min="3" max="3" width="9.6640625" style="15" bestFit="1" customWidth="1"/>
    <col min="4" max="4" width="15.83203125" style="15" bestFit="1" customWidth="1"/>
    <col min="5" max="6" width="14.33203125" style="15" bestFit="1" customWidth="1"/>
    <col min="7" max="7" width="19" style="15" bestFit="1" customWidth="1"/>
  </cols>
  <sheetData>
    <row r="1" spans="1: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2">
      <c r="A2" s="15" t="s">
        <v>7</v>
      </c>
      <c r="B2" s="15" t="s">
        <v>8</v>
      </c>
      <c r="C2" s="15">
        <v>120</v>
      </c>
      <c r="D2" s="15">
        <v>1648</v>
      </c>
      <c r="E2" s="15">
        <v>13.73</v>
      </c>
      <c r="F2" s="15">
        <v>1336</v>
      </c>
      <c r="G2" s="15" t="s">
        <v>9</v>
      </c>
    </row>
    <row r="3" spans="1:7" x14ac:dyDescent="0.2">
      <c r="A3" s="15" t="s">
        <v>10</v>
      </c>
      <c r="B3" s="15" t="s">
        <v>11</v>
      </c>
      <c r="C3" s="15">
        <v>97</v>
      </c>
      <c r="D3" s="15">
        <v>1311</v>
      </c>
      <c r="E3" s="15">
        <v>13.52</v>
      </c>
      <c r="F3" s="15">
        <v>1026</v>
      </c>
      <c r="G3" s="15" t="s">
        <v>12</v>
      </c>
    </row>
    <row r="4" spans="1:7" x14ac:dyDescent="0.2">
      <c r="A4" s="15" t="s">
        <v>13</v>
      </c>
      <c r="B4" s="15" t="s">
        <v>14</v>
      </c>
      <c r="C4" s="15">
        <v>113</v>
      </c>
      <c r="D4" s="15">
        <v>1501</v>
      </c>
      <c r="E4" s="15">
        <v>13.28</v>
      </c>
      <c r="F4" s="15">
        <v>1170</v>
      </c>
      <c r="G4" s="15" t="s">
        <v>15</v>
      </c>
    </row>
    <row r="5" spans="1:7" x14ac:dyDescent="0.2">
      <c r="A5" s="15" t="s">
        <v>16</v>
      </c>
      <c r="B5" s="15" t="s">
        <v>17</v>
      </c>
      <c r="C5" s="15">
        <v>35</v>
      </c>
      <c r="D5" s="15">
        <v>358</v>
      </c>
      <c r="E5" s="15">
        <v>10.23</v>
      </c>
      <c r="F5" s="15">
        <v>358</v>
      </c>
      <c r="G5" s="15" t="s">
        <v>18</v>
      </c>
    </row>
    <row r="6" spans="1:7" x14ac:dyDescent="0.2">
      <c r="A6" s="15" t="s">
        <v>19</v>
      </c>
      <c r="B6" s="15" t="s">
        <v>20</v>
      </c>
      <c r="C6" s="15">
        <v>78</v>
      </c>
      <c r="D6" s="15">
        <v>984</v>
      </c>
      <c r="E6" s="15">
        <v>12.62</v>
      </c>
      <c r="F6" s="15">
        <v>834</v>
      </c>
      <c r="G6" s="15" t="s">
        <v>21</v>
      </c>
    </row>
    <row r="7" spans="1:7" x14ac:dyDescent="0.2">
      <c r="A7" s="15" t="s">
        <v>22</v>
      </c>
      <c r="B7" s="15" t="s">
        <v>20</v>
      </c>
      <c r="C7" s="15">
        <v>121</v>
      </c>
      <c r="D7" s="15">
        <v>1393</v>
      </c>
      <c r="E7" s="15">
        <v>11.51</v>
      </c>
      <c r="F7" s="15">
        <v>1271</v>
      </c>
      <c r="G7" s="15" t="s">
        <v>23</v>
      </c>
    </row>
    <row r="8" spans="1:7" x14ac:dyDescent="0.2">
      <c r="A8" s="15" t="s">
        <v>24</v>
      </c>
      <c r="B8" s="15" t="s">
        <v>25</v>
      </c>
      <c r="C8" s="15">
        <v>128</v>
      </c>
      <c r="D8" s="15">
        <v>1491</v>
      </c>
      <c r="E8" s="15">
        <v>11.65</v>
      </c>
      <c r="F8" s="15">
        <v>1435</v>
      </c>
      <c r="G8" s="15" t="s">
        <v>26</v>
      </c>
    </row>
    <row r="9" spans="1:7" x14ac:dyDescent="0.2">
      <c r="A9" s="15" t="s">
        <v>27</v>
      </c>
      <c r="B9" s="15" t="s">
        <v>28</v>
      </c>
      <c r="C9" s="15">
        <v>94</v>
      </c>
      <c r="D9" s="15">
        <v>1130</v>
      </c>
      <c r="E9" s="15">
        <v>12.02</v>
      </c>
      <c r="F9" s="15">
        <v>994</v>
      </c>
      <c r="G9" s="15" t="s">
        <v>29</v>
      </c>
    </row>
    <row r="10" spans="1:7" x14ac:dyDescent="0.2">
      <c r="A10" s="15" t="s">
        <v>30</v>
      </c>
      <c r="B10" s="15" t="s">
        <v>31</v>
      </c>
      <c r="C10" s="15">
        <v>76</v>
      </c>
      <c r="D10" s="15">
        <v>812</v>
      </c>
      <c r="E10" s="15">
        <v>10.68</v>
      </c>
      <c r="F10" s="15">
        <v>756</v>
      </c>
      <c r="G10" s="15" t="s">
        <v>23</v>
      </c>
    </row>
    <row r="11" spans="1:7" x14ac:dyDescent="0.2">
      <c r="A11" s="15" t="s">
        <v>32</v>
      </c>
      <c r="B11" s="15" t="s">
        <v>33</v>
      </c>
      <c r="C11" s="15">
        <v>38</v>
      </c>
      <c r="D11" s="15">
        <v>476</v>
      </c>
      <c r="E11" s="15">
        <v>12.53</v>
      </c>
      <c r="F11" s="15">
        <v>364</v>
      </c>
      <c r="G11" s="15" t="s">
        <v>34</v>
      </c>
    </row>
    <row r="12" spans="1:7" x14ac:dyDescent="0.2">
      <c r="A12" s="15" t="s">
        <v>35</v>
      </c>
      <c r="B12" s="15" t="s">
        <v>36</v>
      </c>
      <c r="C12" s="15">
        <v>95</v>
      </c>
      <c r="D12" s="15">
        <v>1056</v>
      </c>
      <c r="E12" s="15">
        <v>11.12</v>
      </c>
      <c r="F12" s="15">
        <v>1011</v>
      </c>
      <c r="G12" s="15" t="s">
        <v>37</v>
      </c>
    </row>
    <row r="13" spans="1:7" x14ac:dyDescent="0.2">
      <c r="A13" s="15" t="s">
        <v>38</v>
      </c>
      <c r="B13" s="15" t="s">
        <v>15</v>
      </c>
      <c r="C13" s="15">
        <v>63</v>
      </c>
      <c r="D13" s="15">
        <v>763</v>
      </c>
      <c r="E13" s="15">
        <v>12.11</v>
      </c>
      <c r="F13" s="15">
        <v>643</v>
      </c>
      <c r="G13" s="15" t="s">
        <v>34</v>
      </c>
    </row>
    <row r="14" spans="1:7" x14ac:dyDescent="0.2">
      <c r="A14" s="15" t="s">
        <v>39</v>
      </c>
      <c r="B14" s="15" t="s">
        <v>40</v>
      </c>
      <c r="C14" s="15">
        <v>39</v>
      </c>
      <c r="D14" s="15">
        <v>440</v>
      </c>
      <c r="E14" s="15">
        <v>11.28</v>
      </c>
      <c r="F14" s="15">
        <v>374</v>
      </c>
      <c r="G14" s="15" t="s">
        <v>41</v>
      </c>
    </row>
    <row r="15" spans="1:7" x14ac:dyDescent="0.2">
      <c r="A15" s="15" t="s">
        <v>42</v>
      </c>
      <c r="B15" s="15" t="s">
        <v>40</v>
      </c>
      <c r="C15" s="15">
        <v>123</v>
      </c>
      <c r="D15" s="15">
        <v>1571</v>
      </c>
      <c r="E15" s="15">
        <v>12.77</v>
      </c>
      <c r="F15" s="15">
        <v>1379</v>
      </c>
      <c r="G15" s="15" t="s">
        <v>43</v>
      </c>
    </row>
    <row r="16" spans="1:7" x14ac:dyDescent="0.2">
      <c r="A16" s="15" t="s">
        <v>44</v>
      </c>
      <c r="B16" s="15" t="s">
        <v>45</v>
      </c>
      <c r="C16" s="15">
        <v>99</v>
      </c>
      <c r="D16" s="15">
        <v>1694</v>
      </c>
      <c r="E16" s="15">
        <v>17.100000000000001</v>
      </c>
      <c r="F16" s="15">
        <v>1311</v>
      </c>
      <c r="G16" s="15" t="s">
        <v>46</v>
      </c>
    </row>
    <row r="17" spans="1:7" x14ac:dyDescent="0.2">
      <c r="A17" s="15" t="s">
        <v>47</v>
      </c>
      <c r="B17" s="15" t="s">
        <v>34</v>
      </c>
      <c r="C17" s="15">
        <v>57</v>
      </c>
      <c r="D17" s="15">
        <v>812</v>
      </c>
      <c r="E17" s="15">
        <v>14.25</v>
      </c>
      <c r="F17" s="15">
        <v>560</v>
      </c>
      <c r="G17" s="15" t="s">
        <v>48</v>
      </c>
    </row>
    <row r="18" spans="1:7" x14ac:dyDescent="0.2">
      <c r="A18" s="15" t="s">
        <v>49</v>
      </c>
      <c r="B18" s="15" t="s">
        <v>34</v>
      </c>
      <c r="C18" s="15">
        <v>83</v>
      </c>
      <c r="D18" s="15">
        <v>1166</v>
      </c>
      <c r="E18" s="15">
        <v>14.05</v>
      </c>
      <c r="F18" s="15">
        <v>903</v>
      </c>
      <c r="G18" s="15" t="s">
        <v>36</v>
      </c>
    </row>
    <row r="19" spans="1:7" x14ac:dyDescent="0.2">
      <c r="A19" s="15" t="s">
        <v>50</v>
      </c>
      <c r="B19" s="15" t="s">
        <v>9</v>
      </c>
      <c r="C19" s="15">
        <v>75</v>
      </c>
      <c r="D19" s="15">
        <v>1083</v>
      </c>
      <c r="E19" s="15">
        <v>14.44</v>
      </c>
      <c r="F19" s="15">
        <v>723</v>
      </c>
      <c r="G19" s="15" t="s">
        <v>43</v>
      </c>
    </row>
    <row r="20" spans="1:7" x14ac:dyDescent="0.2">
      <c r="A20" s="15" t="s">
        <v>51</v>
      </c>
      <c r="B20" s="15" t="s">
        <v>52</v>
      </c>
      <c r="C20" s="15">
        <v>114</v>
      </c>
      <c r="D20" s="15">
        <v>1336</v>
      </c>
      <c r="E20" s="15">
        <v>11.72</v>
      </c>
      <c r="F20" s="15">
        <v>1192</v>
      </c>
      <c r="G20" s="15" t="s">
        <v>29</v>
      </c>
    </row>
    <row r="21" spans="1:7" x14ac:dyDescent="0.2">
      <c r="A21" s="15" t="s">
        <v>53</v>
      </c>
      <c r="B21" s="15" t="s">
        <v>29</v>
      </c>
      <c r="C21" s="15">
        <v>72</v>
      </c>
      <c r="D21" s="15">
        <v>815</v>
      </c>
      <c r="E21" s="15">
        <v>11.32</v>
      </c>
      <c r="F21" s="15">
        <v>767</v>
      </c>
      <c r="G21" s="15" t="s">
        <v>26</v>
      </c>
    </row>
    <row r="22" spans="1:7" x14ac:dyDescent="0.2">
      <c r="A22" s="15" t="s">
        <v>54</v>
      </c>
      <c r="B22" s="15" t="s">
        <v>55</v>
      </c>
      <c r="C22" s="15">
        <v>48</v>
      </c>
      <c r="D22" s="15">
        <v>489</v>
      </c>
      <c r="E22" s="15">
        <v>10.19</v>
      </c>
      <c r="F22" s="15">
        <v>393</v>
      </c>
      <c r="G22" s="15" t="s">
        <v>9</v>
      </c>
    </row>
    <row r="23" spans="1:7" x14ac:dyDescent="0.2">
      <c r="A23" s="15" t="s">
        <v>56</v>
      </c>
      <c r="B23" s="17">
        <v>0.95833333333333337</v>
      </c>
      <c r="C23" s="15">
        <v>43</v>
      </c>
      <c r="D23" s="15">
        <v>419</v>
      </c>
      <c r="E23" s="15">
        <v>9.74</v>
      </c>
      <c r="F23" s="15">
        <v>419</v>
      </c>
      <c r="G23" s="16">
        <v>0.91666666666666663</v>
      </c>
    </row>
    <row r="24" spans="1:7" x14ac:dyDescent="0.2">
      <c r="A24" s="15" t="s">
        <v>57</v>
      </c>
      <c r="B24" s="15" t="s">
        <v>58</v>
      </c>
      <c r="C24" s="15">
        <v>57</v>
      </c>
      <c r="D24" s="15">
        <v>664</v>
      </c>
      <c r="E24" s="15">
        <v>11.65</v>
      </c>
      <c r="F24" s="15">
        <v>571</v>
      </c>
      <c r="G24" s="15" t="s">
        <v>21</v>
      </c>
    </row>
    <row r="25" spans="1:7" x14ac:dyDescent="0.2">
      <c r="A25" s="15" t="s">
        <v>59</v>
      </c>
      <c r="B25" s="17">
        <v>0.98958333333333337</v>
      </c>
      <c r="C25" s="15">
        <v>120</v>
      </c>
      <c r="D25" s="15">
        <v>1323</v>
      </c>
      <c r="E25" s="15">
        <v>11.02</v>
      </c>
      <c r="F25" s="15">
        <v>1275</v>
      </c>
      <c r="G25" s="15" t="s">
        <v>26</v>
      </c>
    </row>
    <row r="27" spans="1:7" x14ac:dyDescent="0.2">
      <c r="C27" s="15">
        <f>SUM(C2:C25)+15</f>
        <v>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7</v>
      </c>
      <c r="B2" t="s">
        <v>18</v>
      </c>
      <c r="C2">
        <v>8</v>
      </c>
      <c r="D2">
        <v>24</v>
      </c>
      <c r="E2">
        <v>192</v>
      </c>
      <c r="F2">
        <v>1648</v>
      </c>
      <c r="G2">
        <v>120</v>
      </c>
      <c r="H2">
        <v>1648</v>
      </c>
      <c r="I2" t="s">
        <v>8</v>
      </c>
    </row>
    <row r="3" spans="1:9" x14ac:dyDescent="0.2">
      <c r="A3" t="s">
        <v>7</v>
      </c>
      <c r="B3" t="s">
        <v>66</v>
      </c>
      <c r="C3">
        <v>12</v>
      </c>
      <c r="D3">
        <v>23</v>
      </c>
      <c r="E3">
        <v>276</v>
      </c>
      <c r="F3">
        <v>1576</v>
      </c>
      <c r="G3">
        <v>120</v>
      </c>
      <c r="H3">
        <v>1648</v>
      </c>
      <c r="I3" t="s">
        <v>8</v>
      </c>
    </row>
    <row r="4" spans="1:9" x14ac:dyDescent="0.2">
      <c r="A4" t="s">
        <v>7</v>
      </c>
      <c r="B4" t="s">
        <v>41</v>
      </c>
      <c r="C4">
        <v>1</v>
      </c>
      <c r="D4">
        <v>22</v>
      </c>
      <c r="E4">
        <v>22</v>
      </c>
      <c r="F4">
        <v>1408</v>
      </c>
      <c r="G4">
        <v>120</v>
      </c>
      <c r="H4">
        <v>1648</v>
      </c>
      <c r="I4" t="s">
        <v>8</v>
      </c>
    </row>
    <row r="5" spans="1:9" x14ac:dyDescent="0.2">
      <c r="A5" t="s">
        <v>7</v>
      </c>
      <c r="B5" t="s">
        <v>12</v>
      </c>
      <c r="C5">
        <v>3</v>
      </c>
      <c r="D5">
        <v>21</v>
      </c>
      <c r="E5">
        <v>63</v>
      </c>
      <c r="F5">
        <v>1504</v>
      </c>
      <c r="G5">
        <v>120</v>
      </c>
      <c r="H5">
        <v>1648</v>
      </c>
      <c r="I5" t="s">
        <v>8</v>
      </c>
    </row>
    <row r="6" spans="1:9" x14ac:dyDescent="0.2">
      <c r="A6" t="s">
        <v>7</v>
      </c>
      <c r="B6" t="s">
        <v>67</v>
      </c>
      <c r="C6">
        <v>8</v>
      </c>
      <c r="D6">
        <v>20</v>
      </c>
      <c r="E6">
        <v>160</v>
      </c>
      <c r="F6">
        <v>1552</v>
      </c>
      <c r="G6">
        <v>120</v>
      </c>
      <c r="H6">
        <v>1648</v>
      </c>
      <c r="I6" t="s">
        <v>8</v>
      </c>
    </row>
    <row r="7" spans="1:9" x14ac:dyDescent="0.2">
      <c r="A7" t="s">
        <v>7</v>
      </c>
      <c r="B7" t="s">
        <v>68</v>
      </c>
      <c r="C7">
        <v>5</v>
      </c>
      <c r="D7">
        <v>19</v>
      </c>
      <c r="E7">
        <v>95</v>
      </c>
      <c r="F7">
        <v>1480</v>
      </c>
      <c r="G7">
        <v>120</v>
      </c>
      <c r="H7">
        <v>1648</v>
      </c>
      <c r="I7" t="s">
        <v>8</v>
      </c>
    </row>
    <row r="8" spans="1:9" x14ac:dyDescent="0.2">
      <c r="A8" t="s">
        <v>7</v>
      </c>
      <c r="B8" t="s">
        <v>69</v>
      </c>
      <c r="C8">
        <v>2</v>
      </c>
      <c r="D8">
        <v>18</v>
      </c>
      <c r="E8">
        <v>36</v>
      </c>
      <c r="F8">
        <v>1480</v>
      </c>
      <c r="G8">
        <v>120</v>
      </c>
      <c r="H8">
        <v>1648</v>
      </c>
      <c r="I8" t="s">
        <v>8</v>
      </c>
    </row>
    <row r="9" spans="1:9" x14ac:dyDescent="0.2">
      <c r="A9" t="s">
        <v>7</v>
      </c>
      <c r="B9" t="s">
        <v>70</v>
      </c>
      <c r="C9">
        <v>7</v>
      </c>
      <c r="D9">
        <v>17</v>
      </c>
      <c r="E9">
        <v>119</v>
      </c>
      <c r="F9">
        <v>1552</v>
      </c>
      <c r="G9">
        <v>120</v>
      </c>
      <c r="H9">
        <v>1648</v>
      </c>
      <c r="I9" t="s">
        <v>8</v>
      </c>
    </row>
    <row r="10" spans="1:9" x14ac:dyDescent="0.2">
      <c r="A10" t="s">
        <v>7</v>
      </c>
      <c r="B10" t="s">
        <v>43</v>
      </c>
      <c r="C10">
        <v>7</v>
      </c>
      <c r="D10">
        <v>16</v>
      </c>
      <c r="E10">
        <v>112</v>
      </c>
      <c r="F10">
        <v>1504</v>
      </c>
      <c r="G10">
        <v>120</v>
      </c>
      <c r="H10">
        <v>1648</v>
      </c>
      <c r="I10" t="s">
        <v>8</v>
      </c>
    </row>
    <row r="11" spans="1:9" x14ac:dyDescent="0.2">
      <c r="A11" t="s">
        <v>7</v>
      </c>
      <c r="B11" t="s">
        <v>71</v>
      </c>
      <c r="C11">
        <v>6</v>
      </c>
      <c r="D11">
        <v>15</v>
      </c>
      <c r="E11">
        <v>90</v>
      </c>
      <c r="F11">
        <v>1456</v>
      </c>
      <c r="G11">
        <v>120</v>
      </c>
      <c r="H11">
        <v>1648</v>
      </c>
      <c r="I11" t="s">
        <v>8</v>
      </c>
    </row>
    <row r="12" spans="1:9" x14ac:dyDescent="0.2">
      <c r="A12" t="s">
        <v>7</v>
      </c>
      <c r="B12" t="s">
        <v>46</v>
      </c>
      <c r="C12">
        <v>1</v>
      </c>
      <c r="D12">
        <v>14</v>
      </c>
      <c r="E12">
        <v>14</v>
      </c>
      <c r="F12">
        <v>1432</v>
      </c>
      <c r="G12">
        <v>120</v>
      </c>
      <c r="H12">
        <v>1648</v>
      </c>
      <c r="I12" t="s">
        <v>8</v>
      </c>
    </row>
    <row r="13" spans="1:9" x14ac:dyDescent="0.2">
      <c r="A13" t="s">
        <v>7</v>
      </c>
      <c r="B13" t="s">
        <v>36</v>
      </c>
      <c r="C13">
        <v>3</v>
      </c>
      <c r="D13">
        <v>13</v>
      </c>
      <c r="E13">
        <v>39</v>
      </c>
      <c r="F13">
        <v>1528</v>
      </c>
      <c r="G13">
        <v>120</v>
      </c>
      <c r="H13">
        <v>1648</v>
      </c>
      <c r="I13" t="s">
        <v>8</v>
      </c>
    </row>
    <row r="14" spans="1:9" x14ac:dyDescent="0.2">
      <c r="A14" t="s">
        <v>7</v>
      </c>
      <c r="B14" t="s">
        <v>48</v>
      </c>
      <c r="C14">
        <v>7</v>
      </c>
      <c r="D14">
        <v>12</v>
      </c>
      <c r="E14">
        <v>84</v>
      </c>
      <c r="F14">
        <v>1576</v>
      </c>
      <c r="G14">
        <v>120</v>
      </c>
      <c r="H14">
        <v>1648</v>
      </c>
      <c r="I14" t="s">
        <v>8</v>
      </c>
    </row>
    <row r="15" spans="1:9" x14ac:dyDescent="0.2">
      <c r="A15" t="s">
        <v>7</v>
      </c>
      <c r="B15" t="s">
        <v>15</v>
      </c>
      <c r="C15">
        <v>7</v>
      </c>
      <c r="D15">
        <v>11</v>
      </c>
      <c r="E15">
        <v>77</v>
      </c>
      <c r="F15">
        <v>1528</v>
      </c>
      <c r="G15">
        <v>120</v>
      </c>
      <c r="H15">
        <v>1648</v>
      </c>
      <c r="I15" t="s">
        <v>8</v>
      </c>
    </row>
    <row r="16" spans="1:9" x14ac:dyDescent="0.2">
      <c r="A16" t="s">
        <v>7</v>
      </c>
      <c r="B16" t="s">
        <v>40</v>
      </c>
      <c r="C16">
        <v>3</v>
      </c>
      <c r="D16">
        <v>10</v>
      </c>
      <c r="E16">
        <v>30</v>
      </c>
      <c r="F16">
        <v>1480</v>
      </c>
      <c r="G16">
        <v>120</v>
      </c>
      <c r="H16">
        <v>1648</v>
      </c>
      <c r="I16" t="s">
        <v>8</v>
      </c>
    </row>
    <row r="17" spans="1:9" x14ac:dyDescent="0.2">
      <c r="A17" t="s">
        <v>7</v>
      </c>
      <c r="B17" t="s">
        <v>72</v>
      </c>
      <c r="C17">
        <v>8</v>
      </c>
      <c r="D17">
        <v>9</v>
      </c>
      <c r="E17">
        <v>72</v>
      </c>
      <c r="F17">
        <v>1528</v>
      </c>
      <c r="G17">
        <v>120</v>
      </c>
      <c r="H17">
        <v>1648</v>
      </c>
      <c r="I17" t="s">
        <v>8</v>
      </c>
    </row>
    <row r="18" spans="1:9" x14ac:dyDescent="0.2">
      <c r="A18" t="s">
        <v>7</v>
      </c>
      <c r="B18" t="s">
        <v>34</v>
      </c>
      <c r="C18">
        <v>10</v>
      </c>
      <c r="D18">
        <v>8</v>
      </c>
      <c r="E18">
        <v>80</v>
      </c>
      <c r="F18">
        <v>1456</v>
      </c>
      <c r="G18">
        <v>120</v>
      </c>
      <c r="H18">
        <v>1648</v>
      </c>
      <c r="I18" t="s">
        <v>8</v>
      </c>
    </row>
    <row r="19" spans="1:9" x14ac:dyDescent="0.2">
      <c r="A19" t="s">
        <v>7</v>
      </c>
      <c r="B19" t="s">
        <v>9</v>
      </c>
      <c r="C19">
        <v>2</v>
      </c>
      <c r="D19">
        <v>7</v>
      </c>
      <c r="E19">
        <v>14</v>
      </c>
      <c r="F19">
        <v>1336</v>
      </c>
      <c r="G19">
        <v>120</v>
      </c>
      <c r="H19">
        <v>1648</v>
      </c>
      <c r="I19" t="s">
        <v>8</v>
      </c>
    </row>
    <row r="20" spans="1:9" x14ac:dyDescent="0.2">
      <c r="A20" t="s">
        <v>7</v>
      </c>
      <c r="B20" t="s">
        <v>52</v>
      </c>
      <c r="C20">
        <v>5</v>
      </c>
      <c r="D20">
        <v>6</v>
      </c>
      <c r="E20">
        <v>30</v>
      </c>
      <c r="F20">
        <v>1408</v>
      </c>
      <c r="G20">
        <v>120</v>
      </c>
      <c r="H20">
        <v>1648</v>
      </c>
      <c r="I20" t="s">
        <v>8</v>
      </c>
    </row>
    <row r="21" spans="1:9" x14ac:dyDescent="0.2">
      <c r="A21" t="s">
        <v>7</v>
      </c>
      <c r="B21" t="s">
        <v>21</v>
      </c>
      <c r="C21">
        <v>5</v>
      </c>
      <c r="D21">
        <v>5</v>
      </c>
      <c r="E21">
        <v>25</v>
      </c>
      <c r="F21">
        <v>1408</v>
      </c>
      <c r="G21">
        <v>120</v>
      </c>
      <c r="H21">
        <v>1648</v>
      </c>
      <c r="I21" t="s">
        <v>8</v>
      </c>
    </row>
    <row r="22" spans="1:9" x14ac:dyDescent="0.2">
      <c r="A22" t="s">
        <v>7</v>
      </c>
      <c r="B22" t="s">
        <v>29</v>
      </c>
      <c r="C22">
        <v>0</v>
      </c>
      <c r="D22">
        <v>4</v>
      </c>
      <c r="E22">
        <v>0</v>
      </c>
      <c r="F22">
        <v>1408</v>
      </c>
      <c r="G22">
        <v>120</v>
      </c>
      <c r="H22">
        <v>1648</v>
      </c>
      <c r="I22" t="s">
        <v>8</v>
      </c>
    </row>
    <row r="23" spans="1:9" x14ac:dyDescent="0.2">
      <c r="A23" t="s">
        <v>7</v>
      </c>
      <c r="B23" t="s">
        <v>37</v>
      </c>
      <c r="C23">
        <v>0</v>
      </c>
      <c r="D23">
        <v>3</v>
      </c>
      <c r="E23">
        <v>0</v>
      </c>
      <c r="F23">
        <v>1528</v>
      </c>
      <c r="G23">
        <v>120</v>
      </c>
      <c r="H23">
        <v>1648</v>
      </c>
      <c r="I23" t="s">
        <v>8</v>
      </c>
    </row>
    <row r="24" spans="1:9" x14ac:dyDescent="0.2">
      <c r="A24" t="s">
        <v>7</v>
      </c>
      <c r="B24" t="s">
        <v>23</v>
      </c>
      <c r="C24">
        <v>8</v>
      </c>
      <c r="D24">
        <v>2</v>
      </c>
      <c r="E24">
        <v>16</v>
      </c>
      <c r="F24">
        <v>1648</v>
      </c>
      <c r="G24">
        <v>120</v>
      </c>
      <c r="H24">
        <v>1648</v>
      </c>
      <c r="I24" t="s">
        <v>8</v>
      </c>
    </row>
    <row r="25" spans="1:9" x14ac:dyDescent="0.2">
      <c r="A25" t="s">
        <v>7</v>
      </c>
      <c r="B25" t="s">
        <v>26</v>
      </c>
      <c r="C25">
        <v>2</v>
      </c>
      <c r="D25">
        <v>1</v>
      </c>
      <c r="E25">
        <v>2</v>
      </c>
      <c r="F25">
        <v>1576</v>
      </c>
      <c r="G25">
        <v>120</v>
      </c>
      <c r="H25">
        <v>1648</v>
      </c>
      <c r="I25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10</v>
      </c>
      <c r="B2" t="s">
        <v>18</v>
      </c>
      <c r="C2">
        <v>15</v>
      </c>
      <c r="D2">
        <v>24</v>
      </c>
      <c r="E2">
        <v>360</v>
      </c>
      <c r="F2">
        <v>1311</v>
      </c>
      <c r="G2">
        <v>97</v>
      </c>
      <c r="H2">
        <v>1311</v>
      </c>
      <c r="I2" t="s">
        <v>11</v>
      </c>
    </row>
    <row r="3" spans="1:9" x14ac:dyDescent="0.2">
      <c r="A3" t="s">
        <v>10</v>
      </c>
      <c r="B3" t="s">
        <v>66</v>
      </c>
      <c r="C3">
        <v>3</v>
      </c>
      <c r="D3">
        <v>23</v>
      </c>
      <c r="E3">
        <v>69</v>
      </c>
      <c r="F3">
        <v>1048</v>
      </c>
      <c r="G3">
        <v>97</v>
      </c>
      <c r="H3">
        <v>1311</v>
      </c>
      <c r="I3" t="s">
        <v>11</v>
      </c>
    </row>
    <row r="4" spans="1:9" x14ac:dyDescent="0.2">
      <c r="A4" t="s">
        <v>10</v>
      </c>
      <c r="B4" t="s">
        <v>41</v>
      </c>
      <c r="C4">
        <v>6</v>
      </c>
      <c r="D4">
        <v>22</v>
      </c>
      <c r="E4">
        <v>132</v>
      </c>
      <c r="F4">
        <v>1073</v>
      </c>
      <c r="G4">
        <v>97</v>
      </c>
      <c r="H4">
        <v>1311</v>
      </c>
      <c r="I4" t="s">
        <v>11</v>
      </c>
    </row>
    <row r="5" spans="1:9" x14ac:dyDescent="0.2">
      <c r="A5" t="s">
        <v>10</v>
      </c>
      <c r="B5" t="s">
        <v>12</v>
      </c>
      <c r="C5">
        <v>1</v>
      </c>
      <c r="D5">
        <v>21</v>
      </c>
      <c r="E5">
        <v>21</v>
      </c>
      <c r="F5">
        <v>1026</v>
      </c>
      <c r="G5">
        <v>97</v>
      </c>
      <c r="H5">
        <v>1311</v>
      </c>
      <c r="I5" t="s">
        <v>11</v>
      </c>
    </row>
    <row r="6" spans="1:9" x14ac:dyDescent="0.2">
      <c r="A6" t="s">
        <v>10</v>
      </c>
      <c r="B6" t="s">
        <v>67</v>
      </c>
      <c r="C6">
        <v>3</v>
      </c>
      <c r="D6">
        <v>20</v>
      </c>
      <c r="E6">
        <v>60</v>
      </c>
      <c r="F6">
        <v>1099</v>
      </c>
      <c r="G6">
        <v>97</v>
      </c>
      <c r="H6">
        <v>1311</v>
      </c>
      <c r="I6" t="s">
        <v>11</v>
      </c>
    </row>
    <row r="7" spans="1:9" x14ac:dyDescent="0.2">
      <c r="A7" t="s">
        <v>10</v>
      </c>
      <c r="B7" t="s">
        <v>68</v>
      </c>
      <c r="C7">
        <v>2</v>
      </c>
      <c r="D7">
        <v>19</v>
      </c>
      <c r="E7">
        <v>38</v>
      </c>
      <c r="F7">
        <v>1124</v>
      </c>
      <c r="G7">
        <v>97</v>
      </c>
      <c r="H7">
        <v>1311</v>
      </c>
      <c r="I7" t="s">
        <v>11</v>
      </c>
    </row>
    <row r="8" spans="1:9" x14ac:dyDescent="0.2">
      <c r="A8" t="s">
        <v>10</v>
      </c>
      <c r="B8" t="s">
        <v>69</v>
      </c>
      <c r="C8">
        <v>1</v>
      </c>
      <c r="D8">
        <v>18</v>
      </c>
      <c r="E8">
        <v>18</v>
      </c>
      <c r="F8">
        <v>1173</v>
      </c>
      <c r="G8">
        <v>97</v>
      </c>
      <c r="H8">
        <v>1311</v>
      </c>
      <c r="I8" t="s">
        <v>11</v>
      </c>
    </row>
    <row r="9" spans="1:9" x14ac:dyDescent="0.2">
      <c r="A9" t="s">
        <v>10</v>
      </c>
      <c r="B9" t="s">
        <v>70</v>
      </c>
      <c r="C9">
        <v>6</v>
      </c>
      <c r="D9">
        <v>17</v>
      </c>
      <c r="E9">
        <v>102</v>
      </c>
      <c r="F9">
        <v>1246</v>
      </c>
      <c r="G9">
        <v>97</v>
      </c>
      <c r="H9">
        <v>1311</v>
      </c>
      <c r="I9" t="s">
        <v>11</v>
      </c>
    </row>
    <row r="10" spans="1:9" x14ac:dyDescent="0.2">
      <c r="A10" t="s">
        <v>10</v>
      </c>
      <c r="B10" t="s">
        <v>43</v>
      </c>
      <c r="C10">
        <v>3</v>
      </c>
      <c r="D10">
        <v>16</v>
      </c>
      <c r="E10">
        <v>48</v>
      </c>
      <c r="F10">
        <v>1199</v>
      </c>
      <c r="G10">
        <v>97</v>
      </c>
      <c r="H10">
        <v>1311</v>
      </c>
      <c r="I10" t="s">
        <v>11</v>
      </c>
    </row>
    <row r="11" spans="1:9" x14ac:dyDescent="0.2">
      <c r="A11" t="s">
        <v>10</v>
      </c>
      <c r="B11" t="s">
        <v>71</v>
      </c>
      <c r="C11">
        <v>2</v>
      </c>
      <c r="D11">
        <v>15</v>
      </c>
      <c r="E11">
        <v>30</v>
      </c>
      <c r="F11">
        <v>1224</v>
      </c>
      <c r="G11">
        <v>97</v>
      </c>
      <c r="H11">
        <v>1311</v>
      </c>
      <c r="I11" t="s">
        <v>11</v>
      </c>
    </row>
    <row r="12" spans="1:9" x14ac:dyDescent="0.2">
      <c r="A12" t="s">
        <v>10</v>
      </c>
      <c r="B12" t="s">
        <v>46</v>
      </c>
      <c r="C12">
        <v>6</v>
      </c>
      <c r="D12">
        <v>14</v>
      </c>
      <c r="E12">
        <v>84</v>
      </c>
      <c r="F12">
        <v>1273</v>
      </c>
      <c r="G12">
        <v>97</v>
      </c>
      <c r="H12">
        <v>1311</v>
      </c>
      <c r="I12" t="s">
        <v>11</v>
      </c>
    </row>
    <row r="13" spans="1:9" x14ac:dyDescent="0.2">
      <c r="A13" t="s">
        <v>10</v>
      </c>
      <c r="B13" t="s">
        <v>36</v>
      </c>
      <c r="C13">
        <v>0</v>
      </c>
      <c r="D13">
        <v>13</v>
      </c>
      <c r="E13">
        <v>0</v>
      </c>
      <c r="F13">
        <v>1226</v>
      </c>
      <c r="G13">
        <v>97</v>
      </c>
      <c r="H13">
        <v>1311</v>
      </c>
      <c r="I13" t="s">
        <v>11</v>
      </c>
    </row>
    <row r="14" spans="1:9" x14ac:dyDescent="0.2">
      <c r="A14" t="s">
        <v>10</v>
      </c>
      <c r="B14" t="s">
        <v>48</v>
      </c>
      <c r="C14">
        <v>7</v>
      </c>
      <c r="D14">
        <v>12</v>
      </c>
      <c r="E14">
        <v>84</v>
      </c>
      <c r="F14">
        <v>1323</v>
      </c>
      <c r="G14">
        <v>97</v>
      </c>
      <c r="H14">
        <v>1311</v>
      </c>
      <c r="I14" t="s">
        <v>11</v>
      </c>
    </row>
    <row r="15" spans="1:9" x14ac:dyDescent="0.2">
      <c r="A15" t="s">
        <v>10</v>
      </c>
      <c r="B15" t="s">
        <v>15</v>
      </c>
      <c r="C15">
        <v>1</v>
      </c>
      <c r="D15">
        <v>11</v>
      </c>
      <c r="E15">
        <v>11</v>
      </c>
      <c r="F15">
        <v>1252</v>
      </c>
      <c r="G15">
        <v>97</v>
      </c>
      <c r="H15">
        <v>1311</v>
      </c>
      <c r="I15" t="s">
        <v>11</v>
      </c>
    </row>
    <row r="16" spans="1:9" x14ac:dyDescent="0.2">
      <c r="A16" t="s">
        <v>10</v>
      </c>
      <c r="B16" t="s">
        <v>40</v>
      </c>
      <c r="C16">
        <v>16</v>
      </c>
      <c r="D16">
        <v>10</v>
      </c>
      <c r="E16">
        <v>160</v>
      </c>
      <c r="F16">
        <v>1325</v>
      </c>
      <c r="G16">
        <v>97</v>
      </c>
      <c r="H16">
        <v>1311</v>
      </c>
      <c r="I16" t="s">
        <v>11</v>
      </c>
    </row>
    <row r="17" spans="1:9" x14ac:dyDescent="0.2">
      <c r="A17" t="s">
        <v>10</v>
      </c>
      <c r="B17" t="s">
        <v>72</v>
      </c>
      <c r="C17">
        <v>1</v>
      </c>
      <c r="D17">
        <v>9</v>
      </c>
      <c r="E17">
        <v>9</v>
      </c>
      <c r="F17">
        <v>1038</v>
      </c>
      <c r="G17">
        <v>97</v>
      </c>
      <c r="H17">
        <v>1311</v>
      </c>
      <c r="I17" t="s">
        <v>11</v>
      </c>
    </row>
    <row r="18" spans="1:9" x14ac:dyDescent="0.2">
      <c r="A18" t="s">
        <v>10</v>
      </c>
      <c r="B18" t="s">
        <v>34</v>
      </c>
      <c r="C18">
        <v>0</v>
      </c>
      <c r="D18">
        <v>8</v>
      </c>
      <c r="E18">
        <v>0</v>
      </c>
      <c r="F18">
        <v>1111</v>
      </c>
      <c r="G18">
        <v>97</v>
      </c>
      <c r="H18">
        <v>1311</v>
      </c>
      <c r="I18" t="s">
        <v>11</v>
      </c>
    </row>
    <row r="19" spans="1:9" x14ac:dyDescent="0.2">
      <c r="A19" t="s">
        <v>10</v>
      </c>
      <c r="B19" t="s">
        <v>9</v>
      </c>
      <c r="C19">
        <v>4</v>
      </c>
      <c r="D19">
        <v>7</v>
      </c>
      <c r="E19">
        <v>28</v>
      </c>
      <c r="F19">
        <v>1208</v>
      </c>
      <c r="G19">
        <v>97</v>
      </c>
      <c r="H19">
        <v>1311</v>
      </c>
      <c r="I19" t="s">
        <v>11</v>
      </c>
    </row>
    <row r="20" spans="1:9" x14ac:dyDescent="0.2">
      <c r="A20" t="s">
        <v>10</v>
      </c>
      <c r="B20" t="s">
        <v>52</v>
      </c>
      <c r="C20">
        <v>1</v>
      </c>
      <c r="D20">
        <v>6</v>
      </c>
      <c r="E20">
        <v>6</v>
      </c>
      <c r="F20">
        <v>1209</v>
      </c>
      <c r="G20">
        <v>97</v>
      </c>
      <c r="H20">
        <v>1311</v>
      </c>
      <c r="I20" t="s">
        <v>11</v>
      </c>
    </row>
    <row r="21" spans="1:9" x14ac:dyDescent="0.2">
      <c r="A21" t="s">
        <v>10</v>
      </c>
      <c r="B21" t="s">
        <v>21</v>
      </c>
      <c r="C21">
        <v>2</v>
      </c>
      <c r="D21">
        <v>5</v>
      </c>
      <c r="E21">
        <v>10</v>
      </c>
      <c r="F21">
        <v>1282</v>
      </c>
      <c r="G21">
        <v>97</v>
      </c>
      <c r="H21">
        <v>1311</v>
      </c>
      <c r="I21" t="s">
        <v>11</v>
      </c>
    </row>
    <row r="22" spans="1:9" x14ac:dyDescent="0.2">
      <c r="A22" t="s">
        <v>10</v>
      </c>
      <c r="B22" t="s">
        <v>29</v>
      </c>
      <c r="C22">
        <v>8</v>
      </c>
      <c r="D22">
        <v>4</v>
      </c>
      <c r="E22">
        <v>32</v>
      </c>
      <c r="F22">
        <v>1331</v>
      </c>
      <c r="G22">
        <v>97</v>
      </c>
      <c r="H22">
        <v>1311</v>
      </c>
      <c r="I22" t="s">
        <v>11</v>
      </c>
    </row>
    <row r="23" spans="1:9" x14ac:dyDescent="0.2">
      <c r="A23" t="s">
        <v>10</v>
      </c>
      <c r="B23" t="s">
        <v>37</v>
      </c>
      <c r="C23">
        <v>0</v>
      </c>
      <c r="D23">
        <v>3</v>
      </c>
      <c r="E23">
        <v>0</v>
      </c>
      <c r="F23">
        <v>1236</v>
      </c>
      <c r="G23">
        <v>97</v>
      </c>
      <c r="H23">
        <v>1311</v>
      </c>
      <c r="I23" t="s">
        <v>11</v>
      </c>
    </row>
    <row r="24" spans="1:9" x14ac:dyDescent="0.2">
      <c r="A24" t="s">
        <v>10</v>
      </c>
      <c r="B24" t="s">
        <v>23</v>
      </c>
      <c r="C24">
        <v>0</v>
      </c>
      <c r="D24">
        <v>2</v>
      </c>
      <c r="E24">
        <v>0</v>
      </c>
      <c r="F24">
        <v>1333</v>
      </c>
      <c r="G24">
        <v>97</v>
      </c>
      <c r="H24">
        <v>1311</v>
      </c>
      <c r="I24" t="s">
        <v>11</v>
      </c>
    </row>
    <row r="25" spans="1:9" x14ac:dyDescent="0.2">
      <c r="A25" t="s">
        <v>10</v>
      </c>
      <c r="B25" t="s">
        <v>26</v>
      </c>
      <c r="C25">
        <v>9</v>
      </c>
      <c r="D25">
        <v>1</v>
      </c>
      <c r="E25">
        <v>9</v>
      </c>
      <c r="F25">
        <v>1430</v>
      </c>
      <c r="G25">
        <v>97</v>
      </c>
      <c r="H25">
        <v>1311</v>
      </c>
      <c r="I25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C34" sqref="C34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13</v>
      </c>
      <c r="B2" t="s">
        <v>18</v>
      </c>
      <c r="C2">
        <v>7</v>
      </c>
      <c r="D2">
        <v>24</v>
      </c>
      <c r="E2">
        <v>168</v>
      </c>
      <c r="F2">
        <v>1501</v>
      </c>
      <c r="G2">
        <v>113</v>
      </c>
      <c r="H2">
        <v>1501</v>
      </c>
      <c r="I2" t="s">
        <v>14</v>
      </c>
    </row>
    <row r="3" spans="1:9" x14ac:dyDescent="0.2">
      <c r="A3" t="s">
        <v>13</v>
      </c>
      <c r="B3" t="s">
        <v>66</v>
      </c>
      <c r="C3">
        <v>2</v>
      </c>
      <c r="D3">
        <v>23</v>
      </c>
      <c r="E3">
        <v>46</v>
      </c>
      <c r="F3">
        <v>1446</v>
      </c>
      <c r="G3">
        <v>113</v>
      </c>
      <c r="H3">
        <v>1501</v>
      </c>
      <c r="I3" t="s">
        <v>14</v>
      </c>
    </row>
    <row r="4" spans="1:9" x14ac:dyDescent="0.2">
      <c r="A4" t="s">
        <v>13</v>
      </c>
      <c r="B4" t="s">
        <v>41</v>
      </c>
      <c r="C4">
        <v>8</v>
      </c>
      <c r="D4">
        <v>22</v>
      </c>
      <c r="E4">
        <v>176</v>
      </c>
      <c r="F4">
        <v>1511</v>
      </c>
      <c r="G4">
        <v>113</v>
      </c>
      <c r="H4">
        <v>1501</v>
      </c>
      <c r="I4" t="s">
        <v>14</v>
      </c>
    </row>
    <row r="5" spans="1:9" x14ac:dyDescent="0.2">
      <c r="A5" t="s">
        <v>13</v>
      </c>
      <c r="B5" t="s">
        <v>12</v>
      </c>
      <c r="C5">
        <v>1</v>
      </c>
      <c r="D5">
        <v>21</v>
      </c>
      <c r="E5">
        <v>21</v>
      </c>
      <c r="F5">
        <v>1432</v>
      </c>
      <c r="G5">
        <v>113</v>
      </c>
      <c r="H5">
        <v>1501</v>
      </c>
      <c r="I5" t="s">
        <v>14</v>
      </c>
    </row>
    <row r="6" spans="1:9" x14ac:dyDescent="0.2">
      <c r="A6" t="s">
        <v>13</v>
      </c>
      <c r="B6" t="s">
        <v>67</v>
      </c>
      <c r="C6">
        <v>0</v>
      </c>
      <c r="D6">
        <v>20</v>
      </c>
      <c r="E6">
        <v>0</v>
      </c>
      <c r="F6">
        <v>1521</v>
      </c>
      <c r="G6">
        <v>113</v>
      </c>
      <c r="H6">
        <v>1501</v>
      </c>
      <c r="I6" t="s">
        <v>14</v>
      </c>
    </row>
    <row r="7" spans="1:9" x14ac:dyDescent="0.2">
      <c r="A7" t="s">
        <v>13</v>
      </c>
      <c r="B7" t="s">
        <v>68</v>
      </c>
      <c r="C7">
        <v>7</v>
      </c>
      <c r="D7">
        <v>19</v>
      </c>
      <c r="E7">
        <v>133</v>
      </c>
      <c r="F7">
        <v>1634</v>
      </c>
      <c r="G7">
        <v>113</v>
      </c>
      <c r="H7">
        <v>1501</v>
      </c>
      <c r="I7" t="s">
        <v>14</v>
      </c>
    </row>
    <row r="8" spans="1:9" x14ac:dyDescent="0.2">
      <c r="A8" t="s">
        <v>13</v>
      </c>
      <c r="B8" t="s">
        <v>69</v>
      </c>
      <c r="C8">
        <v>1</v>
      </c>
      <c r="D8">
        <v>18</v>
      </c>
      <c r="E8">
        <v>18</v>
      </c>
      <c r="F8">
        <v>1579</v>
      </c>
      <c r="G8">
        <v>113</v>
      </c>
      <c r="H8">
        <v>1501</v>
      </c>
      <c r="I8" t="s">
        <v>14</v>
      </c>
    </row>
    <row r="9" spans="1:9" x14ac:dyDescent="0.2">
      <c r="A9" t="s">
        <v>13</v>
      </c>
      <c r="B9" t="s">
        <v>70</v>
      </c>
      <c r="C9">
        <v>11</v>
      </c>
      <c r="D9">
        <v>17</v>
      </c>
      <c r="E9">
        <v>187</v>
      </c>
      <c r="F9">
        <v>1668</v>
      </c>
      <c r="G9">
        <v>113</v>
      </c>
      <c r="H9">
        <v>1501</v>
      </c>
      <c r="I9" t="s">
        <v>14</v>
      </c>
    </row>
    <row r="10" spans="1:9" x14ac:dyDescent="0.2">
      <c r="A10" t="s">
        <v>13</v>
      </c>
      <c r="B10" t="s">
        <v>43</v>
      </c>
      <c r="C10">
        <v>2</v>
      </c>
      <c r="D10">
        <v>16</v>
      </c>
      <c r="E10">
        <v>32</v>
      </c>
      <c r="F10">
        <v>1517</v>
      </c>
      <c r="G10">
        <v>113</v>
      </c>
      <c r="H10">
        <v>1501</v>
      </c>
      <c r="I10" t="s">
        <v>14</v>
      </c>
    </row>
    <row r="11" spans="1:9" x14ac:dyDescent="0.2">
      <c r="A11" t="s">
        <v>13</v>
      </c>
      <c r="B11" t="s">
        <v>71</v>
      </c>
      <c r="C11">
        <v>7</v>
      </c>
      <c r="D11">
        <v>15</v>
      </c>
      <c r="E11">
        <v>105</v>
      </c>
      <c r="F11">
        <v>1582</v>
      </c>
      <c r="G11">
        <v>113</v>
      </c>
      <c r="H11">
        <v>1501</v>
      </c>
      <c r="I11" t="s">
        <v>14</v>
      </c>
    </row>
    <row r="12" spans="1:9" x14ac:dyDescent="0.2">
      <c r="A12" t="s">
        <v>13</v>
      </c>
      <c r="B12" t="s">
        <v>46</v>
      </c>
      <c r="C12">
        <v>16</v>
      </c>
      <c r="D12">
        <v>14</v>
      </c>
      <c r="E12">
        <v>224</v>
      </c>
      <c r="F12">
        <v>1527</v>
      </c>
      <c r="G12">
        <v>113</v>
      </c>
      <c r="H12">
        <v>1501</v>
      </c>
      <c r="I12" t="s">
        <v>14</v>
      </c>
    </row>
    <row r="13" spans="1:9" x14ac:dyDescent="0.2">
      <c r="A13" t="s">
        <v>13</v>
      </c>
      <c r="B13" t="s">
        <v>36</v>
      </c>
      <c r="C13">
        <v>5</v>
      </c>
      <c r="D13">
        <v>13</v>
      </c>
      <c r="E13">
        <v>65</v>
      </c>
      <c r="F13">
        <v>1256</v>
      </c>
      <c r="G13">
        <v>113</v>
      </c>
      <c r="H13">
        <v>1501</v>
      </c>
      <c r="I13" t="s">
        <v>14</v>
      </c>
    </row>
    <row r="14" spans="1:9" x14ac:dyDescent="0.2">
      <c r="A14" t="s">
        <v>13</v>
      </c>
      <c r="B14" t="s">
        <v>48</v>
      </c>
      <c r="C14">
        <v>8</v>
      </c>
      <c r="D14">
        <v>12</v>
      </c>
      <c r="E14">
        <v>96</v>
      </c>
      <c r="F14">
        <v>1249</v>
      </c>
      <c r="G14">
        <v>113</v>
      </c>
      <c r="H14">
        <v>1501</v>
      </c>
      <c r="I14" t="s">
        <v>14</v>
      </c>
    </row>
    <row r="15" spans="1:9" x14ac:dyDescent="0.2">
      <c r="A15" t="s">
        <v>13</v>
      </c>
      <c r="B15" t="s">
        <v>15</v>
      </c>
      <c r="C15">
        <v>1</v>
      </c>
      <c r="D15">
        <v>11</v>
      </c>
      <c r="E15">
        <v>11</v>
      </c>
      <c r="F15">
        <v>1170</v>
      </c>
      <c r="G15">
        <v>113</v>
      </c>
      <c r="H15">
        <v>1501</v>
      </c>
      <c r="I15" t="s">
        <v>14</v>
      </c>
    </row>
    <row r="16" spans="1:9" x14ac:dyDescent="0.2">
      <c r="A16" t="s">
        <v>13</v>
      </c>
      <c r="B16" t="s">
        <v>40</v>
      </c>
      <c r="C16">
        <v>2</v>
      </c>
      <c r="D16">
        <v>10</v>
      </c>
      <c r="E16">
        <v>20</v>
      </c>
      <c r="F16">
        <v>1259</v>
      </c>
      <c r="G16">
        <v>113</v>
      </c>
      <c r="H16">
        <v>1501</v>
      </c>
      <c r="I16" t="s">
        <v>14</v>
      </c>
    </row>
    <row r="17" spans="1:9" x14ac:dyDescent="0.2">
      <c r="A17" t="s">
        <v>13</v>
      </c>
      <c r="B17" t="s">
        <v>72</v>
      </c>
      <c r="C17">
        <v>6</v>
      </c>
      <c r="D17">
        <v>9</v>
      </c>
      <c r="E17">
        <v>54</v>
      </c>
      <c r="F17">
        <v>1324</v>
      </c>
      <c r="G17">
        <v>113</v>
      </c>
      <c r="H17">
        <v>1501</v>
      </c>
      <c r="I17" t="s">
        <v>14</v>
      </c>
    </row>
    <row r="18" spans="1:9" x14ac:dyDescent="0.2">
      <c r="A18" t="s">
        <v>13</v>
      </c>
      <c r="B18" t="s">
        <v>34</v>
      </c>
      <c r="C18">
        <v>2</v>
      </c>
      <c r="D18">
        <v>8</v>
      </c>
      <c r="E18">
        <v>16</v>
      </c>
      <c r="F18">
        <v>1293</v>
      </c>
      <c r="G18">
        <v>113</v>
      </c>
      <c r="H18">
        <v>1501</v>
      </c>
      <c r="I18" t="s">
        <v>14</v>
      </c>
    </row>
    <row r="19" spans="1:9" x14ac:dyDescent="0.2">
      <c r="A19" t="s">
        <v>13</v>
      </c>
      <c r="B19" t="s">
        <v>9</v>
      </c>
      <c r="C19">
        <v>4</v>
      </c>
      <c r="D19">
        <v>7</v>
      </c>
      <c r="E19">
        <v>28</v>
      </c>
      <c r="F19">
        <v>1358</v>
      </c>
      <c r="G19">
        <v>113</v>
      </c>
      <c r="H19">
        <v>1501</v>
      </c>
      <c r="I19" t="s">
        <v>14</v>
      </c>
    </row>
    <row r="20" spans="1:9" x14ac:dyDescent="0.2">
      <c r="A20" t="s">
        <v>13</v>
      </c>
      <c r="B20" t="s">
        <v>52</v>
      </c>
      <c r="C20">
        <v>8</v>
      </c>
      <c r="D20">
        <v>6</v>
      </c>
      <c r="E20">
        <v>48</v>
      </c>
      <c r="F20">
        <v>1375</v>
      </c>
      <c r="G20">
        <v>113</v>
      </c>
      <c r="H20">
        <v>1501</v>
      </c>
      <c r="I20" t="s">
        <v>14</v>
      </c>
    </row>
    <row r="21" spans="1:9" x14ac:dyDescent="0.2">
      <c r="A21" t="s">
        <v>13</v>
      </c>
      <c r="B21" t="s">
        <v>21</v>
      </c>
      <c r="C21">
        <v>4</v>
      </c>
      <c r="D21">
        <v>5</v>
      </c>
      <c r="E21">
        <v>20</v>
      </c>
      <c r="F21">
        <v>1296</v>
      </c>
      <c r="G21">
        <v>113</v>
      </c>
      <c r="H21">
        <v>1501</v>
      </c>
      <c r="I21" t="s">
        <v>14</v>
      </c>
    </row>
    <row r="22" spans="1:9" x14ac:dyDescent="0.2">
      <c r="A22" t="s">
        <v>13</v>
      </c>
      <c r="B22" t="s">
        <v>29</v>
      </c>
      <c r="C22">
        <v>5</v>
      </c>
      <c r="D22">
        <v>4</v>
      </c>
      <c r="E22">
        <v>20</v>
      </c>
      <c r="F22">
        <v>1313</v>
      </c>
      <c r="G22">
        <v>113</v>
      </c>
      <c r="H22">
        <v>1501</v>
      </c>
      <c r="I22" t="s">
        <v>14</v>
      </c>
    </row>
    <row r="23" spans="1:9" x14ac:dyDescent="0.2">
      <c r="A23" t="s">
        <v>13</v>
      </c>
      <c r="B23" t="s">
        <v>37</v>
      </c>
      <c r="C23">
        <v>1</v>
      </c>
      <c r="D23">
        <v>3</v>
      </c>
      <c r="E23">
        <v>3</v>
      </c>
      <c r="F23">
        <v>1306</v>
      </c>
      <c r="G23">
        <v>113</v>
      </c>
      <c r="H23">
        <v>1501</v>
      </c>
      <c r="I23" t="s">
        <v>14</v>
      </c>
    </row>
    <row r="24" spans="1:9" x14ac:dyDescent="0.2">
      <c r="A24" t="s">
        <v>13</v>
      </c>
      <c r="B24" t="s">
        <v>23</v>
      </c>
      <c r="C24">
        <v>5</v>
      </c>
      <c r="D24">
        <v>2</v>
      </c>
      <c r="E24">
        <v>10</v>
      </c>
      <c r="F24">
        <v>1395</v>
      </c>
      <c r="G24">
        <v>113</v>
      </c>
      <c r="H24">
        <v>1501</v>
      </c>
      <c r="I24" t="s">
        <v>14</v>
      </c>
    </row>
    <row r="25" spans="1:9" x14ac:dyDescent="0.2">
      <c r="A25" t="s">
        <v>13</v>
      </c>
      <c r="B25" t="s">
        <v>26</v>
      </c>
      <c r="C25">
        <v>0</v>
      </c>
      <c r="D25">
        <v>1</v>
      </c>
      <c r="E25">
        <v>0</v>
      </c>
      <c r="F25">
        <v>1388</v>
      </c>
      <c r="G25">
        <v>113</v>
      </c>
      <c r="H25">
        <v>1501</v>
      </c>
      <c r="I25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16</v>
      </c>
      <c r="B2" t="s">
        <v>18</v>
      </c>
      <c r="C2">
        <v>1</v>
      </c>
      <c r="D2">
        <v>24</v>
      </c>
      <c r="E2">
        <v>24</v>
      </c>
      <c r="F2">
        <v>358</v>
      </c>
      <c r="G2">
        <v>35</v>
      </c>
      <c r="H2">
        <v>358</v>
      </c>
      <c r="I2" t="s">
        <v>17</v>
      </c>
    </row>
    <row r="3" spans="1:9" x14ac:dyDescent="0.2">
      <c r="A3" t="s">
        <v>16</v>
      </c>
      <c r="B3" t="s">
        <v>66</v>
      </c>
      <c r="C3">
        <v>0</v>
      </c>
      <c r="D3">
        <v>23</v>
      </c>
      <c r="E3">
        <v>0</v>
      </c>
      <c r="F3">
        <v>369</v>
      </c>
      <c r="G3">
        <v>35</v>
      </c>
      <c r="H3">
        <v>358</v>
      </c>
      <c r="I3" t="s">
        <v>17</v>
      </c>
    </row>
    <row r="4" spans="1:9" x14ac:dyDescent="0.2">
      <c r="A4" t="s">
        <v>16</v>
      </c>
      <c r="B4" t="s">
        <v>41</v>
      </c>
      <c r="C4">
        <v>0</v>
      </c>
      <c r="D4">
        <v>22</v>
      </c>
      <c r="E4">
        <v>0</v>
      </c>
      <c r="F4">
        <v>404</v>
      </c>
      <c r="G4">
        <v>35</v>
      </c>
      <c r="H4">
        <v>358</v>
      </c>
      <c r="I4" t="s">
        <v>17</v>
      </c>
    </row>
    <row r="5" spans="1:9" x14ac:dyDescent="0.2">
      <c r="A5" t="s">
        <v>16</v>
      </c>
      <c r="B5" t="s">
        <v>12</v>
      </c>
      <c r="C5">
        <v>0</v>
      </c>
      <c r="D5">
        <v>21</v>
      </c>
      <c r="E5">
        <v>0</v>
      </c>
      <c r="F5">
        <v>439</v>
      </c>
      <c r="G5">
        <v>35</v>
      </c>
      <c r="H5">
        <v>358</v>
      </c>
      <c r="I5" t="s">
        <v>17</v>
      </c>
    </row>
    <row r="6" spans="1:9" x14ac:dyDescent="0.2">
      <c r="A6" t="s">
        <v>16</v>
      </c>
      <c r="B6" t="s">
        <v>67</v>
      </c>
      <c r="C6">
        <v>1</v>
      </c>
      <c r="D6">
        <v>20</v>
      </c>
      <c r="E6">
        <v>20</v>
      </c>
      <c r="F6">
        <v>474</v>
      </c>
      <c r="G6">
        <v>35</v>
      </c>
      <c r="H6">
        <v>358</v>
      </c>
      <c r="I6" t="s">
        <v>17</v>
      </c>
    </row>
    <row r="7" spans="1:9" x14ac:dyDescent="0.2">
      <c r="A7" t="s">
        <v>16</v>
      </c>
      <c r="B7" t="s">
        <v>68</v>
      </c>
      <c r="C7">
        <v>1</v>
      </c>
      <c r="D7">
        <v>19</v>
      </c>
      <c r="E7">
        <v>19</v>
      </c>
      <c r="F7">
        <v>485</v>
      </c>
      <c r="G7">
        <v>35</v>
      </c>
      <c r="H7">
        <v>358</v>
      </c>
      <c r="I7" t="s">
        <v>17</v>
      </c>
    </row>
    <row r="8" spans="1:9" x14ac:dyDescent="0.2">
      <c r="A8" t="s">
        <v>16</v>
      </c>
      <c r="B8" t="s">
        <v>69</v>
      </c>
      <c r="C8">
        <v>0</v>
      </c>
      <c r="D8">
        <v>18</v>
      </c>
      <c r="E8">
        <v>0</v>
      </c>
      <c r="F8">
        <v>496</v>
      </c>
      <c r="G8">
        <v>35</v>
      </c>
      <c r="H8">
        <v>358</v>
      </c>
      <c r="I8" t="s">
        <v>17</v>
      </c>
    </row>
    <row r="9" spans="1:9" x14ac:dyDescent="0.2">
      <c r="A9" t="s">
        <v>16</v>
      </c>
      <c r="B9" t="s">
        <v>70</v>
      </c>
      <c r="C9">
        <v>1</v>
      </c>
      <c r="D9">
        <v>17</v>
      </c>
      <c r="E9">
        <v>17</v>
      </c>
      <c r="F9">
        <v>531</v>
      </c>
      <c r="G9">
        <v>35</v>
      </c>
      <c r="H9">
        <v>358</v>
      </c>
      <c r="I9" t="s">
        <v>17</v>
      </c>
    </row>
    <row r="10" spans="1:9" x14ac:dyDescent="0.2">
      <c r="A10" t="s">
        <v>16</v>
      </c>
      <c r="B10" t="s">
        <v>43</v>
      </c>
      <c r="C10">
        <v>2</v>
      </c>
      <c r="D10">
        <v>16</v>
      </c>
      <c r="E10">
        <v>32</v>
      </c>
      <c r="F10">
        <v>542</v>
      </c>
      <c r="G10">
        <v>35</v>
      </c>
      <c r="H10">
        <v>358</v>
      </c>
      <c r="I10" t="s">
        <v>17</v>
      </c>
    </row>
    <row r="11" spans="1:9" x14ac:dyDescent="0.2">
      <c r="A11" t="s">
        <v>16</v>
      </c>
      <c r="B11" t="s">
        <v>71</v>
      </c>
      <c r="C11">
        <v>3</v>
      </c>
      <c r="D11">
        <v>15</v>
      </c>
      <c r="E11">
        <v>45</v>
      </c>
      <c r="F11">
        <v>529</v>
      </c>
      <c r="G11">
        <v>35</v>
      </c>
      <c r="H11">
        <v>358</v>
      </c>
      <c r="I11" t="s">
        <v>17</v>
      </c>
    </row>
    <row r="12" spans="1:9" x14ac:dyDescent="0.2">
      <c r="A12" t="s">
        <v>16</v>
      </c>
      <c r="B12" t="s">
        <v>46</v>
      </c>
      <c r="C12">
        <v>0</v>
      </c>
      <c r="D12">
        <v>14</v>
      </c>
      <c r="E12">
        <v>0</v>
      </c>
      <c r="F12">
        <v>492</v>
      </c>
      <c r="G12">
        <v>35</v>
      </c>
      <c r="H12">
        <v>358</v>
      </c>
      <c r="I12" t="s">
        <v>17</v>
      </c>
    </row>
    <row r="13" spans="1:9" x14ac:dyDescent="0.2">
      <c r="A13" t="s">
        <v>16</v>
      </c>
      <c r="B13" t="s">
        <v>36</v>
      </c>
      <c r="C13">
        <v>5</v>
      </c>
      <c r="D13">
        <v>13</v>
      </c>
      <c r="E13">
        <v>65</v>
      </c>
      <c r="F13">
        <v>527</v>
      </c>
      <c r="G13">
        <v>35</v>
      </c>
      <c r="H13">
        <v>358</v>
      </c>
      <c r="I13" t="s">
        <v>17</v>
      </c>
    </row>
    <row r="14" spans="1:9" x14ac:dyDescent="0.2">
      <c r="A14" t="s">
        <v>16</v>
      </c>
      <c r="B14" t="s">
        <v>48</v>
      </c>
      <c r="C14">
        <v>2</v>
      </c>
      <c r="D14">
        <v>12</v>
      </c>
      <c r="E14">
        <v>24</v>
      </c>
      <c r="F14">
        <v>442</v>
      </c>
      <c r="G14">
        <v>35</v>
      </c>
      <c r="H14">
        <v>358</v>
      </c>
      <c r="I14" t="s">
        <v>17</v>
      </c>
    </row>
    <row r="15" spans="1:9" x14ac:dyDescent="0.2">
      <c r="A15" t="s">
        <v>16</v>
      </c>
      <c r="B15" t="s">
        <v>15</v>
      </c>
      <c r="C15">
        <v>2</v>
      </c>
      <c r="D15">
        <v>11</v>
      </c>
      <c r="E15">
        <v>22</v>
      </c>
      <c r="F15">
        <v>429</v>
      </c>
      <c r="G15">
        <v>35</v>
      </c>
      <c r="H15">
        <v>358</v>
      </c>
      <c r="I15" t="s">
        <v>17</v>
      </c>
    </row>
    <row r="16" spans="1:9" x14ac:dyDescent="0.2">
      <c r="A16" t="s">
        <v>16</v>
      </c>
      <c r="B16" t="s">
        <v>40</v>
      </c>
      <c r="C16">
        <v>0</v>
      </c>
      <c r="D16">
        <v>10</v>
      </c>
      <c r="E16">
        <v>0</v>
      </c>
      <c r="F16">
        <v>416</v>
      </c>
      <c r="G16">
        <v>35</v>
      </c>
      <c r="H16">
        <v>358</v>
      </c>
      <c r="I16" t="s">
        <v>17</v>
      </c>
    </row>
    <row r="17" spans="1:9" x14ac:dyDescent="0.2">
      <c r="A17" t="s">
        <v>16</v>
      </c>
      <c r="B17" t="s">
        <v>72</v>
      </c>
      <c r="C17">
        <v>3</v>
      </c>
      <c r="D17">
        <v>9</v>
      </c>
      <c r="E17">
        <v>27</v>
      </c>
      <c r="F17">
        <v>451</v>
      </c>
      <c r="G17">
        <v>35</v>
      </c>
      <c r="H17">
        <v>358</v>
      </c>
      <c r="I17" t="s">
        <v>17</v>
      </c>
    </row>
    <row r="18" spans="1:9" x14ac:dyDescent="0.2">
      <c r="A18" t="s">
        <v>16</v>
      </c>
      <c r="B18" t="s">
        <v>34</v>
      </c>
      <c r="C18">
        <v>1</v>
      </c>
      <c r="D18">
        <v>8</v>
      </c>
      <c r="E18">
        <v>8</v>
      </c>
      <c r="F18">
        <v>414</v>
      </c>
      <c r="G18">
        <v>35</v>
      </c>
      <c r="H18">
        <v>358</v>
      </c>
      <c r="I18" t="s">
        <v>17</v>
      </c>
    </row>
    <row r="19" spans="1:9" x14ac:dyDescent="0.2">
      <c r="A19" t="s">
        <v>16</v>
      </c>
      <c r="B19" t="s">
        <v>9</v>
      </c>
      <c r="C19">
        <v>3</v>
      </c>
      <c r="D19">
        <v>7</v>
      </c>
      <c r="E19">
        <v>21</v>
      </c>
      <c r="F19">
        <v>425</v>
      </c>
      <c r="G19">
        <v>35</v>
      </c>
      <c r="H19">
        <v>358</v>
      </c>
      <c r="I19" t="s">
        <v>17</v>
      </c>
    </row>
    <row r="20" spans="1:9" x14ac:dyDescent="0.2">
      <c r="A20" t="s">
        <v>16</v>
      </c>
      <c r="B20" t="s">
        <v>52</v>
      </c>
      <c r="C20">
        <v>2</v>
      </c>
      <c r="D20">
        <v>6</v>
      </c>
      <c r="E20">
        <v>12</v>
      </c>
      <c r="F20">
        <v>388</v>
      </c>
      <c r="G20">
        <v>35</v>
      </c>
      <c r="H20">
        <v>358</v>
      </c>
      <c r="I20" t="s">
        <v>17</v>
      </c>
    </row>
    <row r="21" spans="1:9" x14ac:dyDescent="0.2">
      <c r="A21" t="s">
        <v>16</v>
      </c>
      <c r="B21" t="s">
        <v>21</v>
      </c>
      <c r="C21">
        <v>2</v>
      </c>
      <c r="D21">
        <v>5</v>
      </c>
      <c r="E21">
        <v>10</v>
      </c>
      <c r="F21">
        <v>375</v>
      </c>
      <c r="G21">
        <v>35</v>
      </c>
      <c r="H21">
        <v>358</v>
      </c>
      <c r="I21" t="s">
        <v>17</v>
      </c>
    </row>
    <row r="22" spans="1:9" x14ac:dyDescent="0.2">
      <c r="A22" t="s">
        <v>16</v>
      </c>
      <c r="B22" t="s">
        <v>29</v>
      </c>
      <c r="C22">
        <v>1</v>
      </c>
      <c r="D22">
        <v>4</v>
      </c>
      <c r="E22">
        <v>4</v>
      </c>
      <c r="F22">
        <v>362</v>
      </c>
      <c r="G22">
        <v>35</v>
      </c>
      <c r="H22">
        <v>358</v>
      </c>
      <c r="I22" t="s">
        <v>17</v>
      </c>
    </row>
    <row r="23" spans="1:9" x14ac:dyDescent="0.2">
      <c r="A23" t="s">
        <v>16</v>
      </c>
      <c r="B23" t="s">
        <v>37</v>
      </c>
      <c r="C23">
        <v>0</v>
      </c>
      <c r="D23">
        <v>3</v>
      </c>
      <c r="E23">
        <v>0</v>
      </c>
      <c r="F23">
        <v>373</v>
      </c>
      <c r="G23">
        <v>35</v>
      </c>
      <c r="H23">
        <v>358</v>
      </c>
      <c r="I23" t="s">
        <v>17</v>
      </c>
    </row>
    <row r="24" spans="1:9" x14ac:dyDescent="0.2">
      <c r="A24" t="s">
        <v>16</v>
      </c>
      <c r="B24" t="s">
        <v>23</v>
      </c>
      <c r="C24">
        <v>3</v>
      </c>
      <c r="D24">
        <v>2</v>
      </c>
      <c r="E24">
        <v>6</v>
      </c>
      <c r="F24">
        <v>408</v>
      </c>
      <c r="G24">
        <v>35</v>
      </c>
      <c r="H24">
        <v>358</v>
      </c>
      <c r="I24" t="s">
        <v>17</v>
      </c>
    </row>
    <row r="25" spans="1:9" x14ac:dyDescent="0.2">
      <c r="A25" t="s">
        <v>16</v>
      </c>
      <c r="B25" t="s">
        <v>26</v>
      </c>
      <c r="C25">
        <v>2</v>
      </c>
      <c r="D25">
        <v>1</v>
      </c>
      <c r="E25">
        <v>2</v>
      </c>
      <c r="F25">
        <v>371</v>
      </c>
      <c r="G25">
        <v>35</v>
      </c>
      <c r="H25">
        <v>358</v>
      </c>
      <c r="I25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19</v>
      </c>
      <c r="B2" t="s">
        <v>18</v>
      </c>
      <c r="C2">
        <v>2</v>
      </c>
      <c r="D2">
        <v>24</v>
      </c>
      <c r="E2">
        <v>48</v>
      </c>
      <c r="F2">
        <v>984</v>
      </c>
      <c r="G2">
        <v>78</v>
      </c>
      <c r="H2">
        <v>984</v>
      </c>
      <c r="I2" t="s">
        <v>20</v>
      </c>
    </row>
    <row r="3" spans="1:9" x14ac:dyDescent="0.2">
      <c r="A3" t="s">
        <v>19</v>
      </c>
      <c r="B3" t="s">
        <v>66</v>
      </c>
      <c r="C3">
        <v>4</v>
      </c>
      <c r="D3">
        <v>23</v>
      </c>
      <c r="E3">
        <v>92</v>
      </c>
      <c r="F3">
        <v>1014</v>
      </c>
      <c r="G3">
        <v>78</v>
      </c>
      <c r="H3">
        <v>984</v>
      </c>
      <c r="I3" t="s">
        <v>20</v>
      </c>
    </row>
    <row r="4" spans="1:9" x14ac:dyDescent="0.2">
      <c r="A4" t="s">
        <v>19</v>
      </c>
      <c r="B4" t="s">
        <v>41</v>
      </c>
      <c r="C4">
        <v>2</v>
      </c>
      <c r="D4">
        <v>22</v>
      </c>
      <c r="E4">
        <v>44</v>
      </c>
      <c r="F4">
        <v>996</v>
      </c>
      <c r="G4">
        <v>78</v>
      </c>
      <c r="H4">
        <v>984</v>
      </c>
      <c r="I4" t="s">
        <v>20</v>
      </c>
    </row>
    <row r="5" spans="1:9" x14ac:dyDescent="0.2">
      <c r="A5" t="s">
        <v>19</v>
      </c>
      <c r="B5" t="s">
        <v>12</v>
      </c>
      <c r="C5">
        <v>0</v>
      </c>
      <c r="D5">
        <v>21</v>
      </c>
      <c r="E5">
        <v>0</v>
      </c>
      <c r="F5">
        <v>1026</v>
      </c>
      <c r="G5">
        <v>78</v>
      </c>
      <c r="H5">
        <v>984</v>
      </c>
      <c r="I5" t="s">
        <v>20</v>
      </c>
    </row>
    <row r="6" spans="1:9" x14ac:dyDescent="0.2">
      <c r="A6" t="s">
        <v>19</v>
      </c>
      <c r="B6" t="s">
        <v>67</v>
      </c>
      <c r="C6">
        <v>5</v>
      </c>
      <c r="D6">
        <v>20</v>
      </c>
      <c r="E6">
        <v>100</v>
      </c>
      <c r="F6">
        <v>1104</v>
      </c>
      <c r="G6">
        <v>78</v>
      </c>
      <c r="H6">
        <v>984</v>
      </c>
      <c r="I6" t="s">
        <v>20</v>
      </c>
    </row>
    <row r="7" spans="1:9" x14ac:dyDescent="0.2">
      <c r="A7" t="s">
        <v>19</v>
      </c>
      <c r="B7" t="s">
        <v>68</v>
      </c>
      <c r="C7">
        <v>3</v>
      </c>
      <c r="D7">
        <v>19</v>
      </c>
      <c r="E7">
        <v>57</v>
      </c>
      <c r="F7">
        <v>1062</v>
      </c>
      <c r="G7">
        <v>78</v>
      </c>
      <c r="H7">
        <v>984</v>
      </c>
      <c r="I7" t="s">
        <v>20</v>
      </c>
    </row>
    <row r="8" spans="1:9" x14ac:dyDescent="0.2">
      <c r="A8" t="s">
        <v>19</v>
      </c>
      <c r="B8" t="s">
        <v>69</v>
      </c>
      <c r="C8">
        <v>1</v>
      </c>
      <c r="D8">
        <v>18</v>
      </c>
      <c r="E8">
        <v>18</v>
      </c>
      <c r="F8">
        <v>1068</v>
      </c>
      <c r="G8">
        <v>78</v>
      </c>
      <c r="H8">
        <v>984</v>
      </c>
      <c r="I8" t="s">
        <v>20</v>
      </c>
    </row>
    <row r="9" spans="1:9" x14ac:dyDescent="0.2">
      <c r="A9" t="s">
        <v>19</v>
      </c>
      <c r="B9" t="s">
        <v>70</v>
      </c>
      <c r="C9">
        <v>3</v>
      </c>
      <c r="D9">
        <v>17</v>
      </c>
      <c r="E9">
        <v>51</v>
      </c>
      <c r="F9">
        <v>1122</v>
      </c>
      <c r="G9">
        <v>78</v>
      </c>
      <c r="H9">
        <v>984</v>
      </c>
      <c r="I9" t="s">
        <v>20</v>
      </c>
    </row>
    <row r="10" spans="1:9" x14ac:dyDescent="0.2">
      <c r="A10" t="s">
        <v>19</v>
      </c>
      <c r="B10" t="s">
        <v>43</v>
      </c>
      <c r="C10">
        <v>6</v>
      </c>
      <c r="D10">
        <v>16</v>
      </c>
      <c r="E10">
        <v>96</v>
      </c>
      <c r="F10">
        <v>1128</v>
      </c>
      <c r="G10">
        <v>78</v>
      </c>
      <c r="H10">
        <v>984</v>
      </c>
      <c r="I10" t="s">
        <v>20</v>
      </c>
    </row>
    <row r="11" spans="1:9" x14ac:dyDescent="0.2">
      <c r="A11" t="s">
        <v>19</v>
      </c>
      <c r="B11" t="s">
        <v>71</v>
      </c>
      <c r="C11">
        <v>1</v>
      </c>
      <c r="D11">
        <v>15</v>
      </c>
      <c r="E11">
        <v>15</v>
      </c>
      <c r="F11">
        <v>1062</v>
      </c>
      <c r="G11">
        <v>78</v>
      </c>
      <c r="H11">
        <v>984</v>
      </c>
      <c r="I11" t="s">
        <v>20</v>
      </c>
    </row>
    <row r="12" spans="1:9" x14ac:dyDescent="0.2">
      <c r="A12" t="s">
        <v>19</v>
      </c>
      <c r="B12" t="s">
        <v>46</v>
      </c>
      <c r="C12">
        <v>9</v>
      </c>
      <c r="D12">
        <v>14</v>
      </c>
      <c r="E12">
        <v>126</v>
      </c>
      <c r="F12">
        <v>1116</v>
      </c>
      <c r="G12">
        <v>78</v>
      </c>
      <c r="H12">
        <v>984</v>
      </c>
      <c r="I12" t="s">
        <v>20</v>
      </c>
    </row>
    <row r="13" spans="1:9" x14ac:dyDescent="0.2">
      <c r="A13" t="s">
        <v>19</v>
      </c>
      <c r="B13" t="s">
        <v>36</v>
      </c>
      <c r="C13">
        <v>6</v>
      </c>
      <c r="D13">
        <v>13</v>
      </c>
      <c r="E13">
        <v>78</v>
      </c>
      <c r="F13">
        <v>978</v>
      </c>
      <c r="G13">
        <v>78</v>
      </c>
      <c r="H13">
        <v>984</v>
      </c>
      <c r="I13" t="s">
        <v>20</v>
      </c>
    </row>
    <row r="14" spans="1:9" x14ac:dyDescent="0.2">
      <c r="A14" t="s">
        <v>19</v>
      </c>
      <c r="B14" t="s">
        <v>48</v>
      </c>
      <c r="C14">
        <v>2</v>
      </c>
      <c r="D14">
        <v>12</v>
      </c>
      <c r="E14">
        <v>24</v>
      </c>
      <c r="F14">
        <v>912</v>
      </c>
      <c r="G14">
        <v>78</v>
      </c>
      <c r="H14">
        <v>984</v>
      </c>
      <c r="I14" t="s">
        <v>20</v>
      </c>
    </row>
    <row r="15" spans="1:9" x14ac:dyDescent="0.2">
      <c r="A15" t="s">
        <v>19</v>
      </c>
      <c r="B15" t="s">
        <v>15</v>
      </c>
      <c r="C15">
        <v>3</v>
      </c>
      <c r="D15">
        <v>11</v>
      </c>
      <c r="E15">
        <v>33</v>
      </c>
      <c r="F15">
        <v>942</v>
      </c>
      <c r="G15">
        <v>78</v>
      </c>
      <c r="H15">
        <v>984</v>
      </c>
      <c r="I15" t="s">
        <v>20</v>
      </c>
    </row>
    <row r="16" spans="1:9" x14ac:dyDescent="0.2">
      <c r="A16" t="s">
        <v>19</v>
      </c>
      <c r="B16" t="s">
        <v>40</v>
      </c>
      <c r="C16">
        <v>5</v>
      </c>
      <c r="D16">
        <v>10</v>
      </c>
      <c r="E16">
        <v>50</v>
      </c>
      <c r="F16">
        <v>948</v>
      </c>
      <c r="G16">
        <v>78</v>
      </c>
      <c r="H16">
        <v>984</v>
      </c>
      <c r="I16" t="s">
        <v>20</v>
      </c>
    </row>
    <row r="17" spans="1:9" x14ac:dyDescent="0.2">
      <c r="A17" t="s">
        <v>19</v>
      </c>
      <c r="B17" t="s">
        <v>72</v>
      </c>
      <c r="C17">
        <v>6</v>
      </c>
      <c r="D17">
        <v>9</v>
      </c>
      <c r="E17">
        <v>54</v>
      </c>
      <c r="F17">
        <v>906</v>
      </c>
      <c r="G17">
        <v>78</v>
      </c>
      <c r="H17">
        <v>984</v>
      </c>
      <c r="I17" t="s">
        <v>20</v>
      </c>
    </row>
    <row r="18" spans="1:9" x14ac:dyDescent="0.2">
      <c r="A18" t="s">
        <v>19</v>
      </c>
      <c r="B18" t="s">
        <v>34</v>
      </c>
      <c r="C18">
        <v>3</v>
      </c>
      <c r="D18">
        <v>8</v>
      </c>
      <c r="E18">
        <v>24</v>
      </c>
      <c r="F18">
        <v>840</v>
      </c>
      <c r="G18">
        <v>78</v>
      </c>
      <c r="H18">
        <v>984</v>
      </c>
      <c r="I18" t="s">
        <v>20</v>
      </c>
    </row>
    <row r="19" spans="1:9" x14ac:dyDescent="0.2">
      <c r="A19" t="s">
        <v>19</v>
      </c>
      <c r="B19" t="s">
        <v>9</v>
      </c>
      <c r="C19">
        <v>3</v>
      </c>
      <c r="D19">
        <v>7</v>
      </c>
      <c r="E19">
        <v>21</v>
      </c>
      <c r="F19">
        <v>846</v>
      </c>
      <c r="G19">
        <v>78</v>
      </c>
      <c r="H19">
        <v>984</v>
      </c>
      <c r="I19" t="s">
        <v>20</v>
      </c>
    </row>
    <row r="20" spans="1:9" x14ac:dyDescent="0.2">
      <c r="A20" t="s">
        <v>19</v>
      </c>
      <c r="B20" t="s">
        <v>52</v>
      </c>
      <c r="C20">
        <v>4</v>
      </c>
      <c r="D20">
        <v>6</v>
      </c>
      <c r="E20">
        <v>24</v>
      </c>
      <c r="F20">
        <v>852</v>
      </c>
      <c r="G20">
        <v>78</v>
      </c>
      <c r="H20">
        <v>984</v>
      </c>
      <c r="I20" t="s">
        <v>20</v>
      </c>
    </row>
    <row r="21" spans="1:9" x14ac:dyDescent="0.2">
      <c r="A21" t="s">
        <v>19</v>
      </c>
      <c r="B21" t="s">
        <v>21</v>
      </c>
      <c r="C21">
        <v>0</v>
      </c>
      <c r="D21">
        <v>5</v>
      </c>
      <c r="E21">
        <v>0</v>
      </c>
      <c r="F21">
        <v>834</v>
      </c>
      <c r="G21">
        <v>78</v>
      </c>
      <c r="H21">
        <v>984</v>
      </c>
      <c r="I21" t="s">
        <v>20</v>
      </c>
    </row>
    <row r="22" spans="1:9" x14ac:dyDescent="0.2">
      <c r="A22" t="s">
        <v>19</v>
      </c>
      <c r="B22" t="s">
        <v>29</v>
      </c>
      <c r="C22">
        <v>5</v>
      </c>
      <c r="D22">
        <v>4</v>
      </c>
      <c r="E22">
        <v>20</v>
      </c>
      <c r="F22">
        <v>912</v>
      </c>
      <c r="G22">
        <v>78</v>
      </c>
      <c r="H22">
        <v>984</v>
      </c>
      <c r="I22" t="s">
        <v>20</v>
      </c>
    </row>
    <row r="23" spans="1:9" x14ac:dyDescent="0.2">
      <c r="A23" t="s">
        <v>19</v>
      </c>
      <c r="B23" t="s">
        <v>37</v>
      </c>
      <c r="C23">
        <v>1</v>
      </c>
      <c r="D23">
        <v>3</v>
      </c>
      <c r="E23">
        <v>3</v>
      </c>
      <c r="F23">
        <v>870</v>
      </c>
      <c r="G23">
        <v>78</v>
      </c>
      <c r="H23">
        <v>984</v>
      </c>
      <c r="I23" t="s">
        <v>20</v>
      </c>
    </row>
    <row r="24" spans="1:9" x14ac:dyDescent="0.2">
      <c r="A24" t="s">
        <v>19</v>
      </c>
      <c r="B24" t="s">
        <v>23</v>
      </c>
      <c r="C24">
        <v>2</v>
      </c>
      <c r="D24">
        <v>2</v>
      </c>
      <c r="E24">
        <v>4</v>
      </c>
      <c r="F24">
        <v>924</v>
      </c>
      <c r="G24">
        <v>78</v>
      </c>
      <c r="H24">
        <v>984</v>
      </c>
      <c r="I24" t="s">
        <v>20</v>
      </c>
    </row>
    <row r="25" spans="1:9" x14ac:dyDescent="0.2">
      <c r="A25" t="s">
        <v>19</v>
      </c>
      <c r="B25" t="s">
        <v>26</v>
      </c>
      <c r="C25">
        <v>2</v>
      </c>
      <c r="D25">
        <v>1</v>
      </c>
      <c r="E25">
        <v>2</v>
      </c>
      <c r="F25">
        <v>954</v>
      </c>
      <c r="G25">
        <v>78</v>
      </c>
      <c r="H25">
        <v>984</v>
      </c>
      <c r="I2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22</v>
      </c>
      <c r="B2" t="s">
        <v>18</v>
      </c>
      <c r="C2">
        <v>3</v>
      </c>
      <c r="D2">
        <v>24</v>
      </c>
      <c r="E2">
        <v>72</v>
      </c>
      <c r="F2">
        <v>1393</v>
      </c>
      <c r="G2">
        <v>121</v>
      </c>
      <c r="H2">
        <v>1393</v>
      </c>
      <c r="I2" t="s">
        <v>20</v>
      </c>
    </row>
    <row r="3" spans="1:9" x14ac:dyDescent="0.2">
      <c r="A3" t="s">
        <v>22</v>
      </c>
      <c r="B3" t="s">
        <v>66</v>
      </c>
      <c r="C3">
        <v>9</v>
      </c>
      <c r="D3">
        <v>23</v>
      </c>
      <c r="E3">
        <v>207</v>
      </c>
      <c r="F3">
        <v>1442</v>
      </c>
      <c r="G3">
        <v>121</v>
      </c>
      <c r="H3">
        <v>1393</v>
      </c>
      <c r="I3" t="s">
        <v>20</v>
      </c>
    </row>
    <row r="4" spans="1:9" x14ac:dyDescent="0.2">
      <c r="A4" t="s">
        <v>22</v>
      </c>
      <c r="B4" t="s">
        <v>41</v>
      </c>
      <c r="C4">
        <v>4</v>
      </c>
      <c r="D4">
        <v>22</v>
      </c>
      <c r="E4">
        <v>88</v>
      </c>
      <c r="F4">
        <v>1347</v>
      </c>
      <c r="G4">
        <v>121</v>
      </c>
      <c r="H4">
        <v>1393</v>
      </c>
      <c r="I4" t="s">
        <v>20</v>
      </c>
    </row>
    <row r="5" spans="1:9" x14ac:dyDescent="0.2">
      <c r="A5" t="s">
        <v>22</v>
      </c>
      <c r="B5" t="s">
        <v>12</v>
      </c>
      <c r="C5">
        <v>0</v>
      </c>
      <c r="D5">
        <v>21</v>
      </c>
      <c r="E5">
        <v>0</v>
      </c>
      <c r="F5">
        <v>1372</v>
      </c>
      <c r="G5">
        <v>121</v>
      </c>
      <c r="H5">
        <v>1393</v>
      </c>
      <c r="I5" t="s">
        <v>20</v>
      </c>
    </row>
    <row r="6" spans="1:9" x14ac:dyDescent="0.2">
      <c r="A6" t="s">
        <v>22</v>
      </c>
      <c r="B6" t="s">
        <v>67</v>
      </c>
      <c r="C6">
        <v>3</v>
      </c>
      <c r="D6">
        <v>20</v>
      </c>
      <c r="E6">
        <v>60</v>
      </c>
      <c r="F6">
        <v>1493</v>
      </c>
      <c r="G6">
        <v>121</v>
      </c>
      <c r="H6">
        <v>1393</v>
      </c>
      <c r="I6" t="s">
        <v>20</v>
      </c>
    </row>
    <row r="7" spans="1:9" x14ac:dyDescent="0.2">
      <c r="A7" t="s">
        <v>22</v>
      </c>
      <c r="B7" t="s">
        <v>68</v>
      </c>
      <c r="C7">
        <v>6</v>
      </c>
      <c r="D7">
        <v>19</v>
      </c>
      <c r="E7">
        <v>114</v>
      </c>
      <c r="F7">
        <v>1542</v>
      </c>
      <c r="G7">
        <v>121</v>
      </c>
      <c r="H7">
        <v>1393</v>
      </c>
      <c r="I7" t="s">
        <v>20</v>
      </c>
    </row>
    <row r="8" spans="1:9" x14ac:dyDescent="0.2">
      <c r="A8" t="s">
        <v>22</v>
      </c>
      <c r="B8" t="s">
        <v>69</v>
      </c>
      <c r="C8">
        <v>4</v>
      </c>
      <c r="D8">
        <v>18</v>
      </c>
      <c r="E8">
        <v>72</v>
      </c>
      <c r="F8">
        <v>1519</v>
      </c>
      <c r="G8">
        <v>121</v>
      </c>
      <c r="H8">
        <v>1393</v>
      </c>
      <c r="I8" t="s">
        <v>20</v>
      </c>
    </row>
    <row r="9" spans="1:9" x14ac:dyDescent="0.2">
      <c r="A9" t="s">
        <v>22</v>
      </c>
      <c r="B9" t="s">
        <v>70</v>
      </c>
      <c r="C9">
        <v>3</v>
      </c>
      <c r="D9">
        <v>17</v>
      </c>
      <c r="E9">
        <v>51</v>
      </c>
      <c r="F9">
        <v>1544</v>
      </c>
      <c r="G9">
        <v>121</v>
      </c>
      <c r="H9">
        <v>1393</v>
      </c>
      <c r="I9" t="s">
        <v>20</v>
      </c>
    </row>
    <row r="10" spans="1:9" x14ac:dyDescent="0.2">
      <c r="A10" t="s">
        <v>22</v>
      </c>
      <c r="B10" t="s">
        <v>43</v>
      </c>
      <c r="C10">
        <v>5</v>
      </c>
      <c r="D10">
        <v>16</v>
      </c>
      <c r="E10">
        <v>80</v>
      </c>
      <c r="F10">
        <v>1593</v>
      </c>
      <c r="G10">
        <v>121</v>
      </c>
      <c r="H10">
        <v>1393</v>
      </c>
      <c r="I10" t="s">
        <v>20</v>
      </c>
    </row>
    <row r="11" spans="1:9" x14ac:dyDescent="0.2">
      <c r="A11" t="s">
        <v>22</v>
      </c>
      <c r="B11" t="s">
        <v>71</v>
      </c>
      <c r="C11">
        <v>5</v>
      </c>
      <c r="D11">
        <v>15</v>
      </c>
      <c r="E11">
        <v>75</v>
      </c>
      <c r="F11">
        <v>1594</v>
      </c>
      <c r="G11">
        <v>121</v>
      </c>
      <c r="H11">
        <v>1393</v>
      </c>
      <c r="I11" t="s">
        <v>20</v>
      </c>
    </row>
    <row r="12" spans="1:9" x14ac:dyDescent="0.2">
      <c r="A12" t="s">
        <v>22</v>
      </c>
      <c r="B12" t="s">
        <v>46</v>
      </c>
      <c r="C12">
        <v>3</v>
      </c>
      <c r="D12">
        <v>14</v>
      </c>
      <c r="E12">
        <v>42</v>
      </c>
      <c r="F12">
        <v>1595</v>
      </c>
      <c r="G12">
        <v>121</v>
      </c>
      <c r="H12">
        <v>1393</v>
      </c>
      <c r="I12" t="s">
        <v>20</v>
      </c>
    </row>
    <row r="13" spans="1:9" x14ac:dyDescent="0.2">
      <c r="A13" t="s">
        <v>22</v>
      </c>
      <c r="B13" t="s">
        <v>36</v>
      </c>
      <c r="C13">
        <v>8</v>
      </c>
      <c r="D13">
        <v>13</v>
      </c>
      <c r="E13">
        <v>104</v>
      </c>
      <c r="F13">
        <v>1644</v>
      </c>
      <c r="G13">
        <v>121</v>
      </c>
      <c r="H13">
        <v>1393</v>
      </c>
      <c r="I13" t="s">
        <v>20</v>
      </c>
    </row>
    <row r="14" spans="1:9" x14ac:dyDescent="0.2">
      <c r="A14" t="s">
        <v>22</v>
      </c>
      <c r="B14" t="s">
        <v>48</v>
      </c>
      <c r="C14">
        <v>3</v>
      </c>
      <c r="D14">
        <v>12</v>
      </c>
      <c r="E14">
        <v>36</v>
      </c>
      <c r="F14">
        <v>1573</v>
      </c>
      <c r="G14">
        <v>121</v>
      </c>
      <c r="H14">
        <v>1393</v>
      </c>
      <c r="I14" t="s">
        <v>20</v>
      </c>
    </row>
    <row r="15" spans="1:9" x14ac:dyDescent="0.2">
      <c r="A15" t="s">
        <v>22</v>
      </c>
      <c r="B15" t="s">
        <v>15</v>
      </c>
      <c r="C15">
        <v>2</v>
      </c>
      <c r="D15">
        <v>11</v>
      </c>
      <c r="E15">
        <v>22</v>
      </c>
      <c r="F15">
        <v>1622</v>
      </c>
      <c r="G15">
        <v>121</v>
      </c>
      <c r="H15">
        <v>1393</v>
      </c>
      <c r="I15" t="s">
        <v>20</v>
      </c>
    </row>
    <row r="16" spans="1:9" x14ac:dyDescent="0.2">
      <c r="A16" t="s">
        <v>22</v>
      </c>
      <c r="B16" t="s">
        <v>40</v>
      </c>
      <c r="C16">
        <v>8</v>
      </c>
      <c r="D16">
        <v>10</v>
      </c>
      <c r="E16">
        <v>80</v>
      </c>
      <c r="F16">
        <v>1695</v>
      </c>
      <c r="G16">
        <v>121</v>
      </c>
      <c r="H16">
        <v>1393</v>
      </c>
      <c r="I16" t="s">
        <v>20</v>
      </c>
    </row>
    <row r="17" spans="1:9" x14ac:dyDescent="0.2">
      <c r="A17" t="s">
        <v>22</v>
      </c>
      <c r="B17" t="s">
        <v>72</v>
      </c>
      <c r="C17">
        <v>2</v>
      </c>
      <c r="D17">
        <v>9</v>
      </c>
      <c r="E17">
        <v>18</v>
      </c>
      <c r="F17">
        <v>1624</v>
      </c>
      <c r="G17">
        <v>121</v>
      </c>
      <c r="H17">
        <v>1393</v>
      </c>
      <c r="I17" t="s">
        <v>20</v>
      </c>
    </row>
    <row r="18" spans="1:9" x14ac:dyDescent="0.2">
      <c r="A18" t="s">
        <v>22</v>
      </c>
      <c r="B18" t="s">
        <v>34</v>
      </c>
      <c r="C18">
        <v>2</v>
      </c>
      <c r="D18">
        <v>8</v>
      </c>
      <c r="E18">
        <v>16</v>
      </c>
      <c r="F18">
        <v>1697</v>
      </c>
      <c r="G18">
        <v>121</v>
      </c>
      <c r="H18">
        <v>1393</v>
      </c>
      <c r="I18" t="s">
        <v>20</v>
      </c>
    </row>
    <row r="19" spans="1:9" x14ac:dyDescent="0.2">
      <c r="A19" t="s">
        <v>22</v>
      </c>
      <c r="B19" t="s">
        <v>9</v>
      </c>
      <c r="C19">
        <v>14</v>
      </c>
      <c r="D19">
        <v>7</v>
      </c>
      <c r="E19">
        <v>98</v>
      </c>
      <c r="F19">
        <v>1770</v>
      </c>
      <c r="G19">
        <v>121</v>
      </c>
      <c r="H19">
        <v>1393</v>
      </c>
      <c r="I19" t="s">
        <v>20</v>
      </c>
    </row>
    <row r="20" spans="1:9" x14ac:dyDescent="0.2">
      <c r="A20" t="s">
        <v>22</v>
      </c>
      <c r="B20" t="s">
        <v>52</v>
      </c>
      <c r="C20">
        <v>9</v>
      </c>
      <c r="D20">
        <v>6</v>
      </c>
      <c r="E20">
        <v>54</v>
      </c>
      <c r="F20">
        <v>1555</v>
      </c>
      <c r="G20">
        <v>121</v>
      </c>
      <c r="H20">
        <v>1393</v>
      </c>
      <c r="I20" t="s">
        <v>20</v>
      </c>
    </row>
    <row r="21" spans="1:9" x14ac:dyDescent="0.2">
      <c r="A21" t="s">
        <v>22</v>
      </c>
      <c r="B21" t="s">
        <v>21</v>
      </c>
      <c r="C21">
        <v>11</v>
      </c>
      <c r="D21">
        <v>5</v>
      </c>
      <c r="E21">
        <v>55</v>
      </c>
      <c r="F21">
        <v>1460</v>
      </c>
      <c r="G21">
        <v>121</v>
      </c>
      <c r="H21">
        <v>1393</v>
      </c>
      <c r="I21" t="s">
        <v>20</v>
      </c>
    </row>
    <row r="22" spans="1:9" x14ac:dyDescent="0.2">
      <c r="A22" t="s">
        <v>22</v>
      </c>
      <c r="B22" t="s">
        <v>29</v>
      </c>
      <c r="C22">
        <v>4</v>
      </c>
      <c r="D22">
        <v>4</v>
      </c>
      <c r="E22">
        <v>16</v>
      </c>
      <c r="F22">
        <v>1317</v>
      </c>
      <c r="G22">
        <v>121</v>
      </c>
      <c r="H22">
        <v>1393</v>
      </c>
      <c r="I22" t="s">
        <v>20</v>
      </c>
    </row>
    <row r="23" spans="1:9" x14ac:dyDescent="0.2">
      <c r="A23" t="s">
        <v>22</v>
      </c>
      <c r="B23" t="s">
        <v>37</v>
      </c>
      <c r="C23">
        <v>8</v>
      </c>
      <c r="D23">
        <v>3</v>
      </c>
      <c r="E23">
        <v>24</v>
      </c>
      <c r="F23">
        <v>1342</v>
      </c>
      <c r="G23">
        <v>121</v>
      </c>
      <c r="H23">
        <v>1393</v>
      </c>
      <c r="I23" t="s">
        <v>20</v>
      </c>
    </row>
    <row r="24" spans="1:9" x14ac:dyDescent="0.2">
      <c r="A24" t="s">
        <v>22</v>
      </c>
      <c r="B24" t="s">
        <v>23</v>
      </c>
      <c r="C24">
        <v>4</v>
      </c>
      <c r="D24">
        <v>2</v>
      </c>
      <c r="E24">
        <v>8</v>
      </c>
      <c r="F24">
        <v>1271</v>
      </c>
      <c r="G24">
        <v>121</v>
      </c>
      <c r="H24">
        <v>1393</v>
      </c>
      <c r="I24" t="s">
        <v>20</v>
      </c>
    </row>
    <row r="25" spans="1:9" x14ac:dyDescent="0.2">
      <c r="A25" t="s">
        <v>22</v>
      </c>
      <c r="B25" t="s">
        <v>26</v>
      </c>
      <c r="C25">
        <v>1</v>
      </c>
      <c r="D25">
        <v>1</v>
      </c>
      <c r="E25">
        <v>1</v>
      </c>
      <c r="F25">
        <v>1296</v>
      </c>
      <c r="G25">
        <v>121</v>
      </c>
      <c r="H25">
        <v>1393</v>
      </c>
      <c r="I25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24</v>
      </c>
      <c r="B2" t="s">
        <v>18</v>
      </c>
      <c r="C2">
        <v>3</v>
      </c>
      <c r="D2">
        <v>24</v>
      </c>
      <c r="E2">
        <v>72</v>
      </c>
      <c r="F2">
        <v>1491</v>
      </c>
      <c r="G2">
        <v>128</v>
      </c>
      <c r="H2">
        <v>1491</v>
      </c>
      <c r="I2" t="s">
        <v>25</v>
      </c>
    </row>
    <row r="3" spans="1:9" x14ac:dyDescent="0.2">
      <c r="A3" t="s">
        <v>24</v>
      </c>
      <c r="B3" t="s">
        <v>66</v>
      </c>
      <c r="C3">
        <v>4</v>
      </c>
      <c r="D3">
        <v>23</v>
      </c>
      <c r="E3">
        <v>92</v>
      </c>
      <c r="F3">
        <v>1547</v>
      </c>
      <c r="G3">
        <v>128</v>
      </c>
      <c r="H3">
        <v>1491</v>
      </c>
      <c r="I3" t="s">
        <v>25</v>
      </c>
    </row>
    <row r="4" spans="1:9" x14ac:dyDescent="0.2">
      <c r="A4" t="s">
        <v>24</v>
      </c>
      <c r="B4" t="s">
        <v>41</v>
      </c>
      <c r="C4">
        <v>0</v>
      </c>
      <c r="D4">
        <v>22</v>
      </c>
      <c r="E4">
        <v>0</v>
      </c>
      <c r="F4">
        <v>1579</v>
      </c>
      <c r="G4">
        <v>128</v>
      </c>
      <c r="H4">
        <v>1491</v>
      </c>
      <c r="I4" t="s">
        <v>25</v>
      </c>
    </row>
    <row r="5" spans="1:9" x14ac:dyDescent="0.2">
      <c r="A5" t="s">
        <v>24</v>
      </c>
      <c r="B5" t="s">
        <v>12</v>
      </c>
      <c r="C5">
        <v>0</v>
      </c>
      <c r="D5">
        <v>21</v>
      </c>
      <c r="E5">
        <v>0</v>
      </c>
      <c r="F5">
        <v>1707</v>
      </c>
      <c r="G5">
        <v>128</v>
      </c>
      <c r="H5">
        <v>1491</v>
      </c>
      <c r="I5" t="s">
        <v>25</v>
      </c>
    </row>
    <row r="6" spans="1:9" x14ac:dyDescent="0.2">
      <c r="A6" t="s">
        <v>24</v>
      </c>
      <c r="B6" t="s">
        <v>67</v>
      </c>
      <c r="C6">
        <v>21</v>
      </c>
      <c r="D6">
        <v>20</v>
      </c>
      <c r="E6">
        <v>420</v>
      </c>
      <c r="F6">
        <v>1835</v>
      </c>
      <c r="G6">
        <v>128</v>
      </c>
      <c r="H6">
        <v>1491</v>
      </c>
      <c r="I6" t="s">
        <v>25</v>
      </c>
    </row>
    <row r="7" spans="1:9" x14ac:dyDescent="0.2">
      <c r="A7" t="s">
        <v>24</v>
      </c>
      <c r="B7" t="s">
        <v>68</v>
      </c>
      <c r="C7">
        <v>3</v>
      </c>
      <c r="D7">
        <v>19</v>
      </c>
      <c r="E7">
        <v>57</v>
      </c>
      <c r="F7">
        <v>1459</v>
      </c>
      <c r="G7">
        <v>128</v>
      </c>
      <c r="H7">
        <v>1491</v>
      </c>
      <c r="I7" t="s">
        <v>25</v>
      </c>
    </row>
    <row r="8" spans="1:9" x14ac:dyDescent="0.2">
      <c r="A8" t="s">
        <v>24</v>
      </c>
      <c r="B8" t="s">
        <v>69</v>
      </c>
      <c r="C8">
        <v>1</v>
      </c>
      <c r="D8">
        <v>18</v>
      </c>
      <c r="E8">
        <v>18</v>
      </c>
      <c r="F8">
        <v>1515</v>
      </c>
      <c r="G8">
        <v>128</v>
      </c>
      <c r="H8">
        <v>1491</v>
      </c>
      <c r="I8" t="s">
        <v>25</v>
      </c>
    </row>
    <row r="9" spans="1:9" x14ac:dyDescent="0.2">
      <c r="A9" t="s">
        <v>24</v>
      </c>
      <c r="B9" t="s">
        <v>70</v>
      </c>
      <c r="C9">
        <v>9</v>
      </c>
      <c r="D9">
        <v>17</v>
      </c>
      <c r="E9">
        <v>153</v>
      </c>
      <c r="F9">
        <v>1619</v>
      </c>
      <c r="G9">
        <v>128</v>
      </c>
      <c r="H9">
        <v>1491</v>
      </c>
      <c r="I9" t="s">
        <v>25</v>
      </c>
    </row>
    <row r="10" spans="1:9" x14ac:dyDescent="0.2">
      <c r="A10" t="s">
        <v>24</v>
      </c>
      <c r="B10" t="s">
        <v>43</v>
      </c>
      <c r="C10">
        <v>5</v>
      </c>
      <c r="D10">
        <v>16</v>
      </c>
      <c r="E10">
        <v>80</v>
      </c>
      <c r="F10">
        <v>1531</v>
      </c>
      <c r="G10">
        <v>128</v>
      </c>
      <c r="H10">
        <v>1491</v>
      </c>
      <c r="I10" t="s">
        <v>25</v>
      </c>
    </row>
    <row r="11" spans="1:9" x14ac:dyDescent="0.2">
      <c r="A11" t="s">
        <v>24</v>
      </c>
      <c r="B11" t="s">
        <v>71</v>
      </c>
      <c r="C11">
        <v>3</v>
      </c>
      <c r="D11">
        <v>15</v>
      </c>
      <c r="E11">
        <v>45</v>
      </c>
      <c r="F11">
        <v>1539</v>
      </c>
      <c r="G11">
        <v>128</v>
      </c>
      <c r="H11">
        <v>1491</v>
      </c>
      <c r="I11" t="s">
        <v>25</v>
      </c>
    </row>
    <row r="12" spans="1:9" x14ac:dyDescent="0.2">
      <c r="A12" t="s">
        <v>24</v>
      </c>
      <c r="B12" t="s">
        <v>46</v>
      </c>
      <c r="C12">
        <v>1</v>
      </c>
      <c r="D12">
        <v>14</v>
      </c>
      <c r="E12">
        <v>14</v>
      </c>
      <c r="F12">
        <v>1595</v>
      </c>
      <c r="G12">
        <v>128</v>
      </c>
      <c r="H12">
        <v>1491</v>
      </c>
      <c r="I12" t="s">
        <v>25</v>
      </c>
    </row>
    <row r="13" spans="1:9" x14ac:dyDescent="0.2">
      <c r="A13" t="s">
        <v>24</v>
      </c>
      <c r="B13" t="s">
        <v>36</v>
      </c>
      <c r="C13">
        <v>7</v>
      </c>
      <c r="D13">
        <v>13</v>
      </c>
      <c r="E13">
        <v>91</v>
      </c>
      <c r="F13">
        <v>1699</v>
      </c>
      <c r="G13">
        <v>128</v>
      </c>
      <c r="H13">
        <v>1491</v>
      </c>
      <c r="I13" t="s">
        <v>25</v>
      </c>
    </row>
    <row r="14" spans="1:9" x14ac:dyDescent="0.2">
      <c r="A14" t="s">
        <v>24</v>
      </c>
      <c r="B14" t="s">
        <v>48</v>
      </c>
      <c r="C14">
        <v>1</v>
      </c>
      <c r="D14">
        <v>12</v>
      </c>
      <c r="E14">
        <v>12</v>
      </c>
      <c r="F14">
        <v>1659</v>
      </c>
      <c r="G14">
        <v>128</v>
      </c>
      <c r="H14">
        <v>1491</v>
      </c>
      <c r="I14" t="s">
        <v>25</v>
      </c>
    </row>
    <row r="15" spans="1:9" x14ac:dyDescent="0.2">
      <c r="A15" t="s">
        <v>24</v>
      </c>
      <c r="B15" t="s">
        <v>15</v>
      </c>
      <c r="C15">
        <v>13</v>
      </c>
      <c r="D15">
        <v>11</v>
      </c>
      <c r="E15">
        <v>143</v>
      </c>
      <c r="F15">
        <v>1763</v>
      </c>
      <c r="G15">
        <v>128</v>
      </c>
      <c r="H15">
        <v>1491</v>
      </c>
      <c r="I15" t="s">
        <v>25</v>
      </c>
    </row>
    <row r="16" spans="1:9" x14ac:dyDescent="0.2">
      <c r="A16" t="s">
        <v>24</v>
      </c>
      <c r="B16" t="s">
        <v>40</v>
      </c>
      <c r="C16">
        <v>3</v>
      </c>
      <c r="D16">
        <v>10</v>
      </c>
      <c r="E16">
        <v>30</v>
      </c>
      <c r="F16">
        <v>1579</v>
      </c>
      <c r="G16">
        <v>128</v>
      </c>
      <c r="H16">
        <v>1491</v>
      </c>
      <c r="I16" t="s">
        <v>25</v>
      </c>
    </row>
    <row r="17" spans="1:9" x14ac:dyDescent="0.2">
      <c r="A17" t="s">
        <v>24</v>
      </c>
      <c r="B17" t="s">
        <v>72</v>
      </c>
      <c r="C17">
        <v>10</v>
      </c>
      <c r="D17">
        <v>9</v>
      </c>
      <c r="E17">
        <v>90</v>
      </c>
      <c r="F17">
        <v>1635</v>
      </c>
      <c r="G17">
        <v>128</v>
      </c>
      <c r="H17">
        <v>1491</v>
      </c>
      <c r="I17" t="s">
        <v>25</v>
      </c>
    </row>
    <row r="18" spans="1:9" x14ac:dyDescent="0.2">
      <c r="A18" t="s">
        <v>24</v>
      </c>
      <c r="B18" t="s">
        <v>34</v>
      </c>
      <c r="C18">
        <v>5</v>
      </c>
      <c r="D18">
        <v>8</v>
      </c>
      <c r="E18">
        <v>40</v>
      </c>
      <c r="F18">
        <v>1523</v>
      </c>
      <c r="G18">
        <v>128</v>
      </c>
      <c r="H18">
        <v>1491</v>
      </c>
      <c r="I18" t="s">
        <v>25</v>
      </c>
    </row>
    <row r="19" spans="1:9" x14ac:dyDescent="0.2">
      <c r="A19" t="s">
        <v>24</v>
      </c>
      <c r="B19" t="s">
        <v>9</v>
      </c>
      <c r="C19">
        <v>3</v>
      </c>
      <c r="D19">
        <v>7</v>
      </c>
      <c r="E19">
        <v>21</v>
      </c>
      <c r="F19">
        <v>1531</v>
      </c>
      <c r="G19">
        <v>128</v>
      </c>
      <c r="H19">
        <v>1491</v>
      </c>
      <c r="I19" t="s">
        <v>25</v>
      </c>
    </row>
    <row r="20" spans="1:9" x14ac:dyDescent="0.2">
      <c r="A20" t="s">
        <v>24</v>
      </c>
      <c r="B20" t="s">
        <v>52</v>
      </c>
      <c r="C20">
        <v>5</v>
      </c>
      <c r="D20">
        <v>6</v>
      </c>
      <c r="E20">
        <v>30</v>
      </c>
      <c r="F20">
        <v>1587</v>
      </c>
      <c r="G20">
        <v>128</v>
      </c>
      <c r="H20">
        <v>1491</v>
      </c>
      <c r="I20" t="s">
        <v>25</v>
      </c>
    </row>
    <row r="21" spans="1:9" x14ac:dyDescent="0.2">
      <c r="A21" t="s">
        <v>24</v>
      </c>
      <c r="B21" t="s">
        <v>21</v>
      </c>
      <c r="C21">
        <v>3</v>
      </c>
      <c r="D21">
        <v>5</v>
      </c>
      <c r="E21">
        <v>15</v>
      </c>
      <c r="F21">
        <v>1595</v>
      </c>
      <c r="G21">
        <v>128</v>
      </c>
      <c r="H21">
        <v>1491</v>
      </c>
      <c r="I21" t="s">
        <v>25</v>
      </c>
    </row>
    <row r="22" spans="1:9" x14ac:dyDescent="0.2">
      <c r="A22" t="s">
        <v>24</v>
      </c>
      <c r="B22" t="s">
        <v>29</v>
      </c>
      <c r="C22">
        <v>2</v>
      </c>
      <c r="D22">
        <v>4</v>
      </c>
      <c r="E22">
        <v>8</v>
      </c>
      <c r="F22">
        <v>1651</v>
      </c>
      <c r="G22">
        <v>128</v>
      </c>
      <c r="H22">
        <v>1491</v>
      </c>
      <c r="I22" t="s">
        <v>25</v>
      </c>
    </row>
    <row r="23" spans="1:9" x14ac:dyDescent="0.2">
      <c r="A23" t="s">
        <v>24</v>
      </c>
      <c r="B23" t="s">
        <v>37</v>
      </c>
      <c r="C23">
        <v>11</v>
      </c>
      <c r="D23">
        <v>3</v>
      </c>
      <c r="E23">
        <v>33</v>
      </c>
      <c r="F23">
        <v>1731</v>
      </c>
      <c r="G23">
        <v>128</v>
      </c>
      <c r="H23">
        <v>1491</v>
      </c>
      <c r="I23" t="s">
        <v>25</v>
      </c>
    </row>
    <row r="24" spans="1:9" x14ac:dyDescent="0.2">
      <c r="A24" t="s">
        <v>24</v>
      </c>
      <c r="B24" t="s">
        <v>23</v>
      </c>
      <c r="C24">
        <v>12</v>
      </c>
      <c r="D24">
        <v>2</v>
      </c>
      <c r="E24">
        <v>24</v>
      </c>
      <c r="F24">
        <v>1595</v>
      </c>
      <c r="G24">
        <v>128</v>
      </c>
      <c r="H24">
        <v>1491</v>
      </c>
      <c r="I24" t="s">
        <v>25</v>
      </c>
    </row>
    <row r="25" spans="1:9" x14ac:dyDescent="0.2">
      <c r="A25" t="s">
        <v>24</v>
      </c>
      <c r="B25" t="s">
        <v>26</v>
      </c>
      <c r="C25">
        <v>3</v>
      </c>
      <c r="D25">
        <v>1</v>
      </c>
      <c r="E25">
        <v>3</v>
      </c>
      <c r="F25">
        <v>1435</v>
      </c>
      <c r="G25">
        <v>128</v>
      </c>
      <c r="H25">
        <v>1491</v>
      </c>
      <c r="I25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27</v>
      </c>
      <c r="B2" t="s">
        <v>18</v>
      </c>
      <c r="C2">
        <v>3</v>
      </c>
      <c r="D2">
        <v>24</v>
      </c>
      <c r="E2">
        <v>72</v>
      </c>
      <c r="F2">
        <v>1130</v>
      </c>
      <c r="G2">
        <v>94</v>
      </c>
      <c r="H2">
        <v>1130</v>
      </c>
      <c r="I2" t="s">
        <v>28</v>
      </c>
    </row>
    <row r="3" spans="1:9" x14ac:dyDescent="0.2">
      <c r="A3" t="s">
        <v>27</v>
      </c>
      <c r="B3" t="s">
        <v>66</v>
      </c>
      <c r="C3">
        <v>8</v>
      </c>
      <c r="D3">
        <v>23</v>
      </c>
      <c r="E3">
        <v>184</v>
      </c>
      <c r="F3">
        <v>1152</v>
      </c>
      <c r="G3">
        <v>94</v>
      </c>
      <c r="H3">
        <v>1130</v>
      </c>
      <c r="I3" t="s">
        <v>28</v>
      </c>
    </row>
    <row r="4" spans="1:9" x14ac:dyDescent="0.2">
      <c r="A4" t="s">
        <v>27</v>
      </c>
      <c r="B4" t="s">
        <v>41</v>
      </c>
      <c r="C4">
        <v>1</v>
      </c>
      <c r="D4">
        <v>22</v>
      </c>
      <c r="E4">
        <v>22</v>
      </c>
      <c r="F4">
        <v>1054</v>
      </c>
      <c r="G4">
        <v>94</v>
      </c>
      <c r="H4">
        <v>1130</v>
      </c>
      <c r="I4" t="s">
        <v>28</v>
      </c>
    </row>
    <row r="5" spans="1:9" x14ac:dyDescent="0.2">
      <c r="A5" t="s">
        <v>27</v>
      </c>
      <c r="B5" t="s">
        <v>12</v>
      </c>
      <c r="C5">
        <v>0</v>
      </c>
      <c r="D5">
        <v>21</v>
      </c>
      <c r="E5">
        <v>0</v>
      </c>
      <c r="F5">
        <v>1124</v>
      </c>
      <c r="G5">
        <v>94</v>
      </c>
      <c r="H5">
        <v>1130</v>
      </c>
      <c r="I5" t="s">
        <v>28</v>
      </c>
    </row>
    <row r="6" spans="1:9" x14ac:dyDescent="0.2">
      <c r="A6" t="s">
        <v>27</v>
      </c>
      <c r="B6" t="s">
        <v>67</v>
      </c>
      <c r="C6">
        <v>0</v>
      </c>
      <c r="D6">
        <v>20</v>
      </c>
      <c r="E6">
        <v>0</v>
      </c>
      <c r="F6">
        <v>1218</v>
      </c>
      <c r="G6">
        <v>94</v>
      </c>
      <c r="H6">
        <v>1130</v>
      </c>
      <c r="I6" t="s">
        <v>28</v>
      </c>
    </row>
    <row r="7" spans="1:9" x14ac:dyDescent="0.2">
      <c r="A7" t="s">
        <v>27</v>
      </c>
      <c r="B7" t="s">
        <v>68</v>
      </c>
      <c r="C7">
        <v>2</v>
      </c>
      <c r="D7">
        <v>19</v>
      </c>
      <c r="E7">
        <v>38</v>
      </c>
      <c r="F7">
        <v>1312</v>
      </c>
      <c r="G7">
        <v>94</v>
      </c>
      <c r="H7">
        <v>1130</v>
      </c>
      <c r="I7" t="s">
        <v>28</v>
      </c>
    </row>
    <row r="8" spans="1:9" x14ac:dyDescent="0.2">
      <c r="A8" t="s">
        <v>27</v>
      </c>
      <c r="B8" t="s">
        <v>69</v>
      </c>
      <c r="C8">
        <v>3</v>
      </c>
      <c r="D8">
        <v>18</v>
      </c>
      <c r="E8">
        <v>54</v>
      </c>
      <c r="F8">
        <v>1358</v>
      </c>
      <c r="G8">
        <v>94</v>
      </c>
      <c r="H8">
        <v>1130</v>
      </c>
      <c r="I8" t="s">
        <v>28</v>
      </c>
    </row>
    <row r="9" spans="1:9" x14ac:dyDescent="0.2">
      <c r="A9" t="s">
        <v>27</v>
      </c>
      <c r="B9" t="s">
        <v>70</v>
      </c>
      <c r="C9">
        <v>3</v>
      </c>
      <c r="D9">
        <v>17</v>
      </c>
      <c r="E9">
        <v>51</v>
      </c>
      <c r="F9">
        <v>1380</v>
      </c>
      <c r="G9">
        <v>94</v>
      </c>
      <c r="H9">
        <v>1130</v>
      </c>
      <c r="I9" t="s">
        <v>28</v>
      </c>
    </row>
    <row r="10" spans="1:9" x14ac:dyDescent="0.2">
      <c r="A10" t="s">
        <v>27</v>
      </c>
      <c r="B10" t="s">
        <v>43</v>
      </c>
      <c r="C10">
        <v>16</v>
      </c>
      <c r="D10">
        <v>16</v>
      </c>
      <c r="E10">
        <v>256</v>
      </c>
      <c r="F10">
        <v>1402</v>
      </c>
      <c r="G10">
        <v>94</v>
      </c>
      <c r="H10">
        <v>1130</v>
      </c>
      <c r="I10" t="s">
        <v>28</v>
      </c>
    </row>
    <row r="11" spans="1:9" x14ac:dyDescent="0.2">
      <c r="A11" t="s">
        <v>27</v>
      </c>
      <c r="B11" t="s">
        <v>71</v>
      </c>
      <c r="C11">
        <v>4</v>
      </c>
      <c r="D11">
        <v>15</v>
      </c>
      <c r="E11">
        <v>60</v>
      </c>
      <c r="F11">
        <v>1112</v>
      </c>
      <c r="G11">
        <v>94</v>
      </c>
      <c r="H11">
        <v>1130</v>
      </c>
      <c r="I11" t="s">
        <v>28</v>
      </c>
    </row>
    <row r="12" spans="1:9" x14ac:dyDescent="0.2">
      <c r="A12" t="s">
        <v>27</v>
      </c>
      <c r="B12" t="s">
        <v>46</v>
      </c>
      <c r="C12">
        <v>0</v>
      </c>
      <c r="D12">
        <v>14</v>
      </c>
      <c r="E12">
        <v>0</v>
      </c>
      <c r="F12">
        <v>1110</v>
      </c>
      <c r="G12">
        <v>94</v>
      </c>
      <c r="H12">
        <v>1130</v>
      </c>
      <c r="I12" t="s">
        <v>28</v>
      </c>
    </row>
    <row r="13" spans="1:9" x14ac:dyDescent="0.2">
      <c r="A13" t="s">
        <v>27</v>
      </c>
      <c r="B13" t="s">
        <v>36</v>
      </c>
      <c r="C13">
        <v>2</v>
      </c>
      <c r="D13">
        <v>13</v>
      </c>
      <c r="E13">
        <v>26</v>
      </c>
      <c r="F13">
        <v>1204</v>
      </c>
      <c r="G13">
        <v>94</v>
      </c>
      <c r="H13">
        <v>1130</v>
      </c>
      <c r="I13" t="s">
        <v>28</v>
      </c>
    </row>
    <row r="14" spans="1:9" x14ac:dyDescent="0.2">
      <c r="A14" t="s">
        <v>27</v>
      </c>
      <c r="B14" t="s">
        <v>48</v>
      </c>
      <c r="C14">
        <v>2</v>
      </c>
      <c r="D14">
        <v>12</v>
      </c>
      <c r="E14">
        <v>24</v>
      </c>
      <c r="F14">
        <v>1250</v>
      </c>
      <c r="G14">
        <v>94</v>
      </c>
      <c r="H14">
        <v>1130</v>
      </c>
      <c r="I14" t="s">
        <v>28</v>
      </c>
    </row>
    <row r="15" spans="1:9" x14ac:dyDescent="0.2">
      <c r="A15" t="s">
        <v>27</v>
      </c>
      <c r="B15" t="s">
        <v>15</v>
      </c>
      <c r="C15">
        <v>8</v>
      </c>
      <c r="D15">
        <v>11</v>
      </c>
      <c r="E15">
        <v>88</v>
      </c>
      <c r="F15">
        <v>1296</v>
      </c>
      <c r="G15">
        <v>94</v>
      </c>
      <c r="H15">
        <v>1130</v>
      </c>
      <c r="I15" t="s">
        <v>28</v>
      </c>
    </row>
    <row r="16" spans="1:9" x14ac:dyDescent="0.2">
      <c r="A16" t="s">
        <v>27</v>
      </c>
      <c r="B16" t="s">
        <v>40</v>
      </c>
      <c r="C16">
        <v>0</v>
      </c>
      <c r="D16">
        <v>10</v>
      </c>
      <c r="E16">
        <v>0</v>
      </c>
      <c r="F16">
        <v>1198</v>
      </c>
      <c r="G16">
        <v>94</v>
      </c>
      <c r="H16">
        <v>1130</v>
      </c>
      <c r="I16" t="s">
        <v>28</v>
      </c>
    </row>
    <row r="17" spans="1:9" x14ac:dyDescent="0.2">
      <c r="A17" t="s">
        <v>27</v>
      </c>
      <c r="B17" t="s">
        <v>72</v>
      </c>
      <c r="C17">
        <v>7</v>
      </c>
      <c r="D17">
        <v>9</v>
      </c>
      <c r="E17">
        <v>63</v>
      </c>
      <c r="F17">
        <v>1292</v>
      </c>
      <c r="G17">
        <v>94</v>
      </c>
      <c r="H17">
        <v>1130</v>
      </c>
      <c r="I17" t="s">
        <v>28</v>
      </c>
    </row>
    <row r="18" spans="1:9" x14ac:dyDescent="0.2">
      <c r="A18" t="s">
        <v>27</v>
      </c>
      <c r="B18" t="s">
        <v>34</v>
      </c>
      <c r="C18">
        <v>11</v>
      </c>
      <c r="D18">
        <v>8</v>
      </c>
      <c r="E18">
        <v>88</v>
      </c>
      <c r="F18">
        <v>1218</v>
      </c>
      <c r="G18">
        <v>94</v>
      </c>
      <c r="H18">
        <v>1130</v>
      </c>
      <c r="I18" t="s">
        <v>28</v>
      </c>
    </row>
    <row r="19" spans="1:9" x14ac:dyDescent="0.2">
      <c r="A19" t="s">
        <v>27</v>
      </c>
      <c r="B19" t="s">
        <v>9</v>
      </c>
      <c r="C19">
        <v>3</v>
      </c>
      <c r="D19">
        <v>7</v>
      </c>
      <c r="E19">
        <v>21</v>
      </c>
      <c r="F19">
        <v>1048</v>
      </c>
      <c r="G19">
        <v>94</v>
      </c>
      <c r="H19">
        <v>1130</v>
      </c>
      <c r="I19" t="s">
        <v>28</v>
      </c>
    </row>
    <row r="20" spans="1:9" x14ac:dyDescent="0.2">
      <c r="A20" t="s">
        <v>27</v>
      </c>
      <c r="B20" t="s">
        <v>52</v>
      </c>
      <c r="C20">
        <v>6</v>
      </c>
      <c r="D20">
        <v>6</v>
      </c>
      <c r="E20">
        <v>36</v>
      </c>
      <c r="F20">
        <v>1070</v>
      </c>
      <c r="G20">
        <v>94</v>
      </c>
      <c r="H20">
        <v>1130</v>
      </c>
      <c r="I20" t="s">
        <v>28</v>
      </c>
    </row>
    <row r="21" spans="1:9" x14ac:dyDescent="0.2">
      <c r="A21" t="s">
        <v>27</v>
      </c>
      <c r="B21" t="s">
        <v>21</v>
      </c>
      <c r="C21">
        <v>5</v>
      </c>
      <c r="D21">
        <v>5</v>
      </c>
      <c r="E21">
        <v>25</v>
      </c>
      <c r="F21">
        <v>1020</v>
      </c>
      <c r="G21">
        <v>94</v>
      </c>
      <c r="H21">
        <v>1130</v>
      </c>
      <c r="I21" t="s">
        <v>28</v>
      </c>
    </row>
    <row r="22" spans="1:9" x14ac:dyDescent="0.2">
      <c r="A22" t="s">
        <v>27</v>
      </c>
      <c r="B22" t="s">
        <v>29</v>
      </c>
      <c r="C22">
        <v>1</v>
      </c>
      <c r="D22">
        <v>4</v>
      </c>
      <c r="E22">
        <v>4</v>
      </c>
      <c r="F22">
        <v>994</v>
      </c>
      <c r="G22">
        <v>94</v>
      </c>
      <c r="H22">
        <v>1130</v>
      </c>
      <c r="I22" t="s">
        <v>28</v>
      </c>
    </row>
    <row r="23" spans="1:9" x14ac:dyDescent="0.2">
      <c r="A23" t="s">
        <v>27</v>
      </c>
      <c r="B23" t="s">
        <v>37</v>
      </c>
      <c r="C23">
        <v>2</v>
      </c>
      <c r="D23">
        <v>3</v>
      </c>
      <c r="E23">
        <v>6</v>
      </c>
      <c r="F23">
        <v>1064</v>
      </c>
      <c r="G23">
        <v>94</v>
      </c>
      <c r="H23">
        <v>1130</v>
      </c>
      <c r="I23" t="s">
        <v>28</v>
      </c>
    </row>
    <row r="24" spans="1:9" x14ac:dyDescent="0.2">
      <c r="A24" t="s">
        <v>27</v>
      </c>
      <c r="B24" t="s">
        <v>23</v>
      </c>
      <c r="C24">
        <v>5</v>
      </c>
      <c r="D24">
        <v>2</v>
      </c>
      <c r="E24">
        <v>10</v>
      </c>
      <c r="F24">
        <v>1110</v>
      </c>
      <c r="G24">
        <v>94</v>
      </c>
      <c r="H24">
        <v>1130</v>
      </c>
      <c r="I24" t="s">
        <v>28</v>
      </c>
    </row>
    <row r="25" spans="1:9" x14ac:dyDescent="0.2">
      <c r="A25" t="s">
        <v>27</v>
      </c>
      <c r="B25" t="s">
        <v>26</v>
      </c>
      <c r="C25">
        <v>2</v>
      </c>
      <c r="D25">
        <v>1</v>
      </c>
      <c r="E25">
        <v>2</v>
      </c>
      <c r="F25">
        <v>1084</v>
      </c>
      <c r="G25">
        <v>94</v>
      </c>
      <c r="H25">
        <v>1130</v>
      </c>
      <c r="I25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30</v>
      </c>
      <c r="B2" t="s">
        <v>18</v>
      </c>
      <c r="C2">
        <v>2</v>
      </c>
      <c r="D2">
        <v>24</v>
      </c>
      <c r="E2">
        <v>48</v>
      </c>
      <c r="F2">
        <v>812</v>
      </c>
      <c r="G2">
        <v>76</v>
      </c>
      <c r="H2">
        <v>812</v>
      </c>
      <c r="I2" t="s">
        <v>31</v>
      </c>
    </row>
    <row r="3" spans="1:9" x14ac:dyDescent="0.2">
      <c r="A3" t="s">
        <v>30</v>
      </c>
      <c r="B3" t="s">
        <v>66</v>
      </c>
      <c r="C3">
        <v>0</v>
      </c>
      <c r="D3">
        <v>23</v>
      </c>
      <c r="E3">
        <v>0</v>
      </c>
      <c r="F3">
        <v>840</v>
      </c>
      <c r="G3">
        <v>76</v>
      </c>
      <c r="H3">
        <v>812</v>
      </c>
      <c r="I3" t="s">
        <v>31</v>
      </c>
    </row>
    <row r="4" spans="1:9" x14ac:dyDescent="0.2">
      <c r="A4" t="s">
        <v>30</v>
      </c>
      <c r="B4" t="s">
        <v>41</v>
      </c>
      <c r="C4">
        <v>3</v>
      </c>
      <c r="D4">
        <v>22</v>
      </c>
      <c r="E4">
        <v>66</v>
      </c>
      <c r="F4">
        <v>916</v>
      </c>
      <c r="G4">
        <v>76</v>
      </c>
      <c r="H4">
        <v>812</v>
      </c>
      <c r="I4" t="s">
        <v>31</v>
      </c>
    </row>
    <row r="5" spans="1:9" x14ac:dyDescent="0.2">
      <c r="A5" t="s">
        <v>30</v>
      </c>
      <c r="B5" t="s">
        <v>12</v>
      </c>
      <c r="C5">
        <v>2</v>
      </c>
      <c r="D5">
        <v>21</v>
      </c>
      <c r="E5">
        <v>42</v>
      </c>
      <c r="F5">
        <v>920</v>
      </c>
      <c r="G5">
        <v>76</v>
      </c>
      <c r="H5">
        <v>812</v>
      </c>
      <c r="I5" t="s">
        <v>31</v>
      </c>
    </row>
    <row r="6" spans="1:9" x14ac:dyDescent="0.2">
      <c r="A6" t="s">
        <v>30</v>
      </c>
      <c r="B6" t="s">
        <v>67</v>
      </c>
      <c r="C6">
        <v>1</v>
      </c>
      <c r="D6">
        <v>20</v>
      </c>
      <c r="E6">
        <v>20</v>
      </c>
      <c r="F6">
        <v>948</v>
      </c>
      <c r="G6">
        <v>76</v>
      </c>
      <c r="H6">
        <v>812</v>
      </c>
      <c r="I6" t="s">
        <v>31</v>
      </c>
    </row>
    <row r="7" spans="1:9" x14ac:dyDescent="0.2">
      <c r="A7" t="s">
        <v>30</v>
      </c>
      <c r="B7" t="s">
        <v>68</v>
      </c>
      <c r="C7">
        <v>0</v>
      </c>
      <c r="D7">
        <v>19</v>
      </c>
      <c r="E7">
        <v>0</v>
      </c>
      <c r="F7">
        <v>1000</v>
      </c>
      <c r="G7">
        <v>76</v>
      </c>
      <c r="H7">
        <v>812</v>
      </c>
      <c r="I7" t="s">
        <v>31</v>
      </c>
    </row>
    <row r="8" spans="1:9" x14ac:dyDescent="0.2">
      <c r="A8" t="s">
        <v>30</v>
      </c>
      <c r="B8" t="s">
        <v>69</v>
      </c>
      <c r="C8">
        <v>1</v>
      </c>
      <c r="D8">
        <v>18</v>
      </c>
      <c r="E8">
        <v>18</v>
      </c>
      <c r="F8">
        <v>1076</v>
      </c>
      <c r="G8">
        <v>76</v>
      </c>
      <c r="H8">
        <v>812</v>
      </c>
      <c r="I8" t="s">
        <v>31</v>
      </c>
    </row>
    <row r="9" spans="1:9" x14ac:dyDescent="0.2">
      <c r="A9" t="s">
        <v>30</v>
      </c>
      <c r="B9" t="s">
        <v>70</v>
      </c>
      <c r="C9">
        <v>11</v>
      </c>
      <c r="D9">
        <v>17</v>
      </c>
      <c r="E9">
        <v>187</v>
      </c>
      <c r="F9">
        <v>1128</v>
      </c>
      <c r="G9">
        <v>76</v>
      </c>
      <c r="H9">
        <v>812</v>
      </c>
      <c r="I9" t="s">
        <v>31</v>
      </c>
    </row>
    <row r="10" spans="1:9" x14ac:dyDescent="0.2">
      <c r="A10" t="s">
        <v>30</v>
      </c>
      <c r="B10" t="s">
        <v>43</v>
      </c>
      <c r="C10">
        <v>1</v>
      </c>
      <c r="D10">
        <v>16</v>
      </c>
      <c r="E10">
        <v>16</v>
      </c>
      <c r="F10">
        <v>940</v>
      </c>
      <c r="G10">
        <v>76</v>
      </c>
      <c r="H10">
        <v>812</v>
      </c>
      <c r="I10" t="s">
        <v>31</v>
      </c>
    </row>
    <row r="11" spans="1:9" x14ac:dyDescent="0.2">
      <c r="A11" t="s">
        <v>30</v>
      </c>
      <c r="B11" t="s">
        <v>71</v>
      </c>
      <c r="C11">
        <v>3</v>
      </c>
      <c r="D11">
        <v>15</v>
      </c>
      <c r="E11">
        <v>45</v>
      </c>
      <c r="F11">
        <v>992</v>
      </c>
      <c r="G11">
        <v>76</v>
      </c>
      <c r="H11">
        <v>812</v>
      </c>
      <c r="I11" t="s">
        <v>31</v>
      </c>
    </row>
    <row r="12" spans="1:9" x14ac:dyDescent="0.2">
      <c r="A12" t="s">
        <v>30</v>
      </c>
      <c r="B12" t="s">
        <v>46</v>
      </c>
      <c r="C12">
        <v>3</v>
      </c>
      <c r="D12">
        <v>14</v>
      </c>
      <c r="E12">
        <v>42</v>
      </c>
      <c r="F12">
        <v>996</v>
      </c>
      <c r="G12">
        <v>76</v>
      </c>
      <c r="H12">
        <v>812</v>
      </c>
      <c r="I12" t="s">
        <v>31</v>
      </c>
    </row>
    <row r="13" spans="1:9" x14ac:dyDescent="0.2">
      <c r="A13" t="s">
        <v>30</v>
      </c>
      <c r="B13" t="s">
        <v>36</v>
      </c>
      <c r="C13">
        <v>4</v>
      </c>
      <c r="D13">
        <v>13</v>
      </c>
      <c r="E13">
        <v>52</v>
      </c>
      <c r="F13">
        <v>1000</v>
      </c>
      <c r="G13">
        <v>76</v>
      </c>
      <c r="H13">
        <v>812</v>
      </c>
      <c r="I13" t="s">
        <v>31</v>
      </c>
    </row>
    <row r="14" spans="1:9" x14ac:dyDescent="0.2">
      <c r="A14" t="s">
        <v>30</v>
      </c>
      <c r="B14" t="s">
        <v>48</v>
      </c>
      <c r="C14">
        <v>2</v>
      </c>
      <c r="D14">
        <v>12</v>
      </c>
      <c r="E14">
        <v>24</v>
      </c>
      <c r="F14">
        <v>980</v>
      </c>
      <c r="G14">
        <v>76</v>
      </c>
      <c r="H14">
        <v>812</v>
      </c>
      <c r="I14" t="s">
        <v>31</v>
      </c>
    </row>
    <row r="15" spans="1:9" x14ac:dyDescent="0.2">
      <c r="A15" t="s">
        <v>30</v>
      </c>
      <c r="B15" t="s">
        <v>15</v>
      </c>
      <c r="C15">
        <v>3</v>
      </c>
      <c r="D15">
        <v>11</v>
      </c>
      <c r="E15">
        <v>33</v>
      </c>
      <c r="F15">
        <v>1008</v>
      </c>
      <c r="G15">
        <v>76</v>
      </c>
      <c r="H15">
        <v>812</v>
      </c>
      <c r="I15" t="s">
        <v>31</v>
      </c>
    </row>
    <row r="16" spans="1:9" x14ac:dyDescent="0.2">
      <c r="A16" t="s">
        <v>30</v>
      </c>
      <c r="B16" t="s">
        <v>40</v>
      </c>
      <c r="C16">
        <v>4</v>
      </c>
      <c r="D16">
        <v>10</v>
      </c>
      <c r="E16">
        <v>40</v>
      </c>
      <c r="F16">
        <v>1012</v>
      </c>
      <c r="G16">
        <v>76</v>
      </c>
      <c r="H16">
        <v>812</v>
      </c>
      <c r="I16" t="s">
        <v>31</v>
      </c>
    </row>
    <row r="17" spans="1:9" x14ac:dyDescent="0.2">
      <c r="A17" t="s">
        <v>30</v>
      </c>
      <c r="B17" t="s">
        <v>72</v>
      </c>
      <c r="C17">
        <v>6</v>
      </c>
      <c r="D17">
        <v>9</v>
      </c>
      <c r="E17">
        <v>54</v>
      </c>
      <c r="F17">
        <v>992</v>
      </c>
      <c r="G17">
        <v>76</v>
      </c>
      <c r="H17">
        <v>812</v>
      </c>
      <c r="I17" t="s">
        <v>31</v>
      </c>
    </row>
    <row r="18" spans="1:9" x14ac:dyDescent="0.2">
      <c r="A18" t="s">
        <v>30</v>
      </c>
      <c r="B18" t="s">
        <v>34</v>
      </c>
      <c r="C18">
        <v>2</v>
      </c>
      <c r="D18">
        <v>8</v>
      </c>
      <c r="E18">
        <v>16</v>
      </c>
      <c r="F18">
        <v>924</v>
      </c>
      <c r="G18">
        <v>76</v>
      </c>
      <c r="H18">
        <v>812</v>
      </c>
      <c r="I18" t="s">
        <v>31</v>
      </c>
    </row>
    <row r="19" spans="1:9" x14ac:dyDescent="0.2">
      <c r="A19" t="s">
        <v>30</v>
      </c>
      <c r="B19" t="s">
        <v>9</v>
      </c>
      <c r="C19">
        <v>2</v>
      </c>
      <c r="D19">
        <v>7</v>
      </c>
      <c r="E19">
        <v>14</v>
      </c>
      <c r="F19">
        <v>952</v>
      </c>
      <c r="G19">
        <v>76</v>
      </c>
      <c r="H19">
        <v>812</v>
      </c>
      <c r="I19" t="s">
        <v>31</v>
      </c>
    </row>
    <row r="20" spans="1:9" x14ac:dyDescent="0.2">
      <c r="A20" t="s">
        <v>30</v>
      </c>
      <c r="B20" t="s">
        <v>52</v>
      </c>
      <c r="C20">
        <v>5</v>
      </c>
      <c r="D20">
        <v>6</v>
      </c>
      <c r="E20">
        <v>30</v>
      </c>
      <c r="F20">
        <v>980</v>
      </c>
      <c r="G20">
        <v>76</v>
      </c>
      <c r="H20">
        <v>812</v>
      </c>
      <c r="I20" t="s">
        <v>31</v>
      </c>
    </row>
    <row r="21" spans="1:9" x14ac:dyDescent="0.2">
      <c r="A21" t="s">
        <v>30</v>
      </c>
      <c r="B21" t="s">
        <v>21</v>
      </c>
      <c r="C21">
        <v>3</v>
      </c>
      <c r="D21">
        <v>5</v>
      </c>
      <c r="E21">
        <v>15</v>
      </c>
      <c r="F21">
        <v>936</v>
      </c>
      <c r="G21">
        <v>76</v>
      </c>
      <c r="H21">
        <v>812</v>
      </c>
      <c r="I21" t="s">
        <v>31</v>
      </c>
    </row>
    <row r="22" spans="1:9" x14ac:dyDescent="0.2">
      <c r="A22" t="s">
        <v>30</v>
      </c>
      <c r="B22" t="s">
        <v>29</v>
      </c>
      <c r="C22">
        <v>2</v>
      </c>
      <c r="D22">
        <v>4</v>
      </c>
      <c r="E22">
        <v>8</v>
      </c>
      <c r="F22">
        <v>940</v>
      </c>
      <c r="G22">
        <v>76</v>
      </c>
      <c r="H22">
        <v>812</v>
      </c>
      <c r="I22" t="s">
        <v>31</v>
      </c>
    </row>
    <row r="23" spans="1:9" x14ac:dyDescent="0.2">
      <c r="A23" t="s">
        <v>30</v>
      </c>
      <c r="B23" t="s">
        <v>37</v>
      </c>
      <c r="C23">
        <v>12</v>
      </c>
      <c r="D23">
        <v>3</v>
      </c>
      <c r="E23">
        <v>36</v>
      </c>
      <c r="F23">
        <v>968</v>
      </c>
      <c r="G23">
        <v>76</v>
      </c>
      <c r="H23">
        <v>812</v>
      </c>
      <c r="I23" t="s">
        <v>31</v>
      </c>
    </row>
    <row r="24" spans="1:9" x14ac:dyDescent="0.2">
      <c r="A24" t="s">
        <v>30</v>
      </c>
      <c r="B24" t="s">
        <v>23</v>
      </c>
      <c r="C24">
        <v>2</v>
      </c>
      <c r="D24">
        <v>2</v>
      </c>
      <c r="E24">
        <v>4</v>
      </c>
      <c r="F24">
        <v>756</v>
      </c>
      <c r="G24">
        <v>76</v>
      </c>
      <c r="H24">
        <v>812</v>
      </c>
      <c r="I24" t="s">
        <v>31</v>
      </c>
    </row>
    <row r="25" spans="1:9" x14ac:dyDescent="0.2">
      <c r="A25" t="s">
        <v>30</v>
      </c>
      <c r="B25" t="s">
        <v>26</v>
      </c>
      <c r="C25">
        <v>2</v>
      </c>
      <c r="D25">
        <v>1</v>
      </c>
      <c r="E25">
        <v>2</v>
      </c>
      <c r="F25">
        <v>784</v>
      </c>
      <c r="G25">
        <v>76</v>
      </c>
      <c r="H25">
        <v>812</v>
      </c>
      <c r="I25" t="s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32</v>
      </c>
      <c r="B2" t="s">
        <v>18</v>
      </c>
      <c r="C2">
        <v>0</v>
      </c>
      <c r="D2">
        <v>24</v>
      </c>
      <c r="E2">
        <v>0</v>
      </c>
      <c r="F2">
        <v>476</v>
      </c>
      <c r="G2">
        <v>38</v>
      </c>
      <c r="H2">
        <v>476</v>
      </c>
      <c r="I2" t="s">
        <v>33</v>
      </c>
    </row>
    <row r="3" spans="1:9" x14ac:dyDescent="0.2">
      <c r="A3" t="s">
        <v>32</v>
      </c>
      <c r="B3" t="s">
        <v>66</v>
      </c>
      <c r="C3">
        <v>0</v>
      </c>
      <c r="D3">
        <v>23</v>
      </c>
      <c r="E3">
        <v>0</v>
      </c>
      <c r="F3">
        <v>514</v>
      </c>
      <c r="G3">
        <v>38</v>
      </c>
      <c r="H3">
        <v>476</v>
      </c>
      <c r="I3" t="s">
        <v>33</v>
      </c>
    </row>
    <row r="4" spans="1:9" x14ac:dyDescent="0.2">
      <c r="A4" t="s">
        <v>32</v>
      </c>
      <c r="B4" t="s">
        <v>41</v>
      </c>
      <c r="C4">
        <v>0</v>
      </c>
      <c r="D4">
        <v>22</v>
      </c>
      <c r="E4">
        <v>0</v>
      </c>
      <c r="F4">
        <v>552</v>
      </c>
      <c r="G4">
        <v>38</v>
      </c>
      <c r="H4">
        <v>476</v>
      </c>
      <c r="I4" t="s">
        <v>33</v>
      </c>
    </row>
    <row r="5" spans="1:9" x14ac:dyDescent="0.2">
      <c r="A5" t="s">
        <v>32</v>
      </c>
      <c r="B5" t="s">
        <v>12</v>
      </c>
      <c r="C5">
        <v>0</v>
      </c>
      <c r="D5">
        <v>21</v>
      </c>
      <c r="E5">
        <v>0</v>
      </c>
      <c r="F5">
        <v>590</v>
      </c>
      <c r="G5">
        <v>38</v>
      </c>
      <c r="H5">
        <v>476</v>
      </c>
      <c r="I5" t="s">
        <v>33</v>
      </c>
    </row>
    <row r="6" spans="1:9" x14ac:dyDescent="0.2">
      <c r="A6" t="s">
        <v>32</v>
      </c>
      <c r="B6" t="s">
        <v>67</v>
      </c>
      <c r="C6">
        <v>6</v>
      </c>
      <c r="D6">
        <v>20</v>
      </c>
      <c r="E6">
        <v>120</v>
      </c>
      <c r="F6">
        <v>628</v>
      </c>
      <c r="G6">
        <v>38</v>
      </c>
      <c r="H6">
        <v>476</v>
      </c>
      <c r="I6" t="s">
        <v>33</v>
      </c>
    </row>
    <row r="7" spans="1:9" x14ac:dyDescent="0.2">
      <c r="A7" t="s">
        <v>32</v>
      </c>
      <c r="B7" t="s">
        <v>68</v>
      </c>
      <c r="C7">
        <v>1</v>
      </c>
      <c r="D7">
        <v>19</v>
      </c>
      <c r="E7">
        <v>19</v>
      </c>
      <c r="F7">
        <v>522</v>
      </c>
      <c r="G7">
        <v>38</v>
      </c>
      <c r="H7">
        <v>476</v>
      </c>
      <c r="I7" t="s">
        <v>33</v>
      </c>
    </row>
    <row r="8" spans="1:9" x14ac:dyDescent="0.2">
      <c r="A8" t="s">
        <v>32</v>
      </c>
      <c r="B8" t="s">
        <v>69</v>
      </c>
      <c r="C8">
        <v>0</v>
      </c>
      <c r="D8">
        <v>18</v>
      </c>
      <c r="E8">
        <v>0</v>
      </c>
      <c r="F8">
        <v>536</v>
      </c>
      <c r="G8">
        <v>38</v>
      </c>
      <c r="H8">
        <v>476</v>
      </c>
      <c r="I8" t="s">
        <v>33</v>
      </c>
    </row>
    <row r="9" spans="1:9" x14ac:dyDescent="0.2">
      <c r="A9" t="s">
        <v>32</v>
      </c>
      <c r="B9" t="s">
        <v>70</v>
      </c>
      <c r="C9">
        <v>8</v>
      </c>
      <c r="D9">
        <v>17</v>
      </c>
      <c r="E9">
        <v>136</v>
      </c>
      <c r="F9">
        <v>574</v>
      </c>
      <c r="G9">
        <v>38</v>
      </c>
      <c r="H9">
        <v>476</v>
      </c>
      <c r="I9" t="s">
        <v>33</v>
      </c>
    </row>
    <row r="10" spans="1:9" x14ac:dyDescent="0.2">
      <c r="A10" t="s">
        <v>32</v>
      </c>
      <c r="B10" t="s">
        <v>43</v>
      </c>
      <c r="C10">
        <v>1</v>
      </c>
      <c r="D10">
        <v>16</v>
      </c>
      <c r="E10">
        <v>16</v>
      </c>
      <c r="F10">
        <v>420</v>
      </c>
      <c r="G10">
        <v>38</v>
      </c>
      <c r="H10">
        <v>476</v>
      </c>
      <c r="I10" t="s">
        <v>33</v>
      </c>
    </row>
    <row r="11" spans="1:9" x14ac:dyDescent="0.2">
      <c r="A11" t="s">
        <v>32</v>
      </c>
      <c r="B11" t="s">
        <v>71</v>
      </c>
      <c r="C11">
        <v>0</v>
      </c>
      <c r="D11">
        <v>15</v>
      </c>
      <c r="E11">
        <v>0</v>
      </c>
      <c r="F11">
        <v>434</v>
      </c>
      <c r="G11">
        <v>38</v>
      </c>
      <c r="H11">
        <v>476</v>
      </c>
      <c r="I11" t="s">
        <v>33</v>
      </c>
    </row>
    <row r="12" spans="1:9" x14ac:dyDescent="0.2">
      <c r="A12" t="s">
        <v>32</v>
      </c>
      <c r="B12" t="s">
        <v>46</v>
      </c>
      <c r="C12">
        <v>1</v>
      </c>
      <c r="D12">
        <v>14</v>
      </c>
      <c r="E12">
        <v>14</v>
      </c>
      <c r="F12">
        <v>472</v>
      </c>
      <c r="G12">
        <v>38</v>
      </c>
      <c r="H12">
        <v>476</v>
      </c>
      <c r="I12" t="s">
        <v>33</v>
      </c>
    </row>
    <row r="13" spans="1:9" x14ac:dyDescent="0.2">
      <c r="A13" t="s">
        <v>32</v>
      </c>
      <c r="B13" t="s">
        <v>36</v>
      </c>
      <c r="C13">
        <v>2</v>
      </c>
      <c r="D13">
        <v>13</v>
      </c>
      <c r="E13">
        <v>26</v>
      </c>
      <c r="F13">
        <v>486</v>
      </c>
      <c r="G13">
        <v>38</v>
      </c>
      <c r="H13">
        <v>476</v>
      </c>
      <c r="I13" t="s">
        <v>33</v>
      </c>
    </row>
    <row r="14" spans="1:9" x14ac:dyDescent="0.2">
      <c r="A14" t="s">
        <v>32</v>
      </c>
      <c r="B14" t="s">
        <v>48</v>
      </c>
      <c r="C14">
        <v>0</v>
      </c>
      <c r="D14">
        <v>12</v>
      </c>
      <c r="E14">
        <v>0</v>
      </c>
      <c r="F14">
        <v>476</v>
      </c>
      <c r="G14">
        <v>38</v>
      </c>
      <c r="H14">
        <v>476</v>
      </c>
      <c r="I14" t="s">
        <v>33</v>
      </c>
    </row>
    <row r="15" spans="1:9" x14ac:dyDescent="0.2">
      <c r="A15" t="s">
        <v>32</v>
      </c>
      <c r="B15" t="s">
        <v>15</v>
      </c>
      <c r="C15">
        <v>4</v>
      </c>
      <c r="D15">
        <v>11</v>
      </c>
      <c r="E15">
        <v>44</v>
      </c>
      <c r="F15">
        <v>514</v>
      </c>
      <c r="G15">
        <v>38</v>
      </c>
      <c r="H15">
        <v>476</v>
      </c>
      <c r="I15" t="s">
        <v>33</v>
      </c>
    </row>
    <row r="16" spans="1:9" x14ac:dyDescent="0.2">
      <c r="A16" t="s">
        <v>32</v>
      </c>
      <c r="B16" t="s">
        <v>40</v>
      </c>
      <c r="C16">
        <v>1</v>
      </c>
      <c r="D16">
        <v>10</v>
      </c>
      <c r="E16">
        <v>10</v>
      </c>
      <c r="F16">
        <v>456</v>
      </c>
      <c r="G16">
        <v>38</v>
      </c>
      <c r="H16">
        <v>476</v>
      </c>
      <c r="I16" t="s">
        <v>33</v>
      </c>
    </row>
    <row r="17" spans="1:9" x14ac:dyDescent="0.2">
      <c r="A17" t="s">
        <v>32</v>
      </c>
      <c r="B17" t="s">
        <v>72</v>
      </c>
      <c r="C17">
        <v>6</v>
      </c>
      <c r="D17">
        <v>9</v>
      </c>
      <c r="E17">
        <v>54</v>
      </c>
      <c r="F17">
        <v>470</v>
      </c>
      <c r="G17">
        <v>38</v>
      </c>
      <c r="H17">
        <v>476</v>
      </c>
      <c r="I17" t="s">
        <v>33</v>
      </c>
    </row>
    <row r="18" spans="1:9" x14ac:dyDescent="0.2">
      <c r="A18" t="s">
        <v>32</v>
      </c>
      <c r="B18" t="s">
        <v>34</v>
      </c>
      <c r="C18">
        <v>0</v>
      </c>
      <c r="D18">
        <v>8</v>
      </c>
      <c r="E18">
        <v>0</v>
      </c>
      <c r="F18">
        <v>364</v>
      </c>
      <c r="G18">
        <v>38</v>
      </c>
      <c r="H18">
        <v>476</v>
      </c>
      <c r="I18" t="s">
        <v>33</v>
      </c>
    </row>
    <row r="19" spans="1:9" x14ac:dyDescent="0.2">
      <c r="A19" t="s">
        <v>32</v>
      </c>
      <c r="B19" t="s">
        <v>9</v>
      </c>
      <c r="C19">
        <v>1</v>
      </c>
      <c r="D19">
        <v>7</v>
      </c>
      <c r="E19">
        <v>7</v>
      </c>
      <c r="F19">
        <v>402</v>
      </c>
      <c r="G19">
        <v>38</v>
      </c>
      <c r="H19">
        <v>476</v>
      </c>
      <c r="I19" t="s">
        <v>33</v>
      </c>
    </row>
    <row r="20" spans="1:9" x14ac:dyDescent="0.2">
      <c r="A20" t="s">
        <v>32</v>
      </c>
      <c r="B20" t="s">
        <v>52</v>
      </c>
      <c r="C20">
        <v>2</v>
      </c>
      <c r="D20">
        <v>6</v>
      </c>
      <c r="E20">
        <v>12</v>
      </c>
      <c r="F20">
        <v>416</v>
      </c>
      <c r="G20">
        <v>38</v>
      </c>
      <c r="H20">
        <v>476</v>
      </c>
      <c r="I20" t="s">
        <v>33</v>
      </c>
    </row>
    <row r="21" spans="1:9" x14ac:dyDescent="0.2">
      <c r="A21" t="s">
        <v>32</v>
      </c>
      <c r="B21" t="s">
        <v>21</v>
      </c>
      <c r="C21">
        <v>2</v>
      </c>
      <c r="D21">
        <v>5</v>
      </c>
      <c r="E21">
        <v>10</v>
      </c>
      <c r="F21">
        <v>406</v>
      </c>
      <c r="G21">
        <v>38</v>
      </c>
      <c r="H21">
        <v>476</v>
      </c>
      <c r="I21" t="s">
        <v>33</v>
      </c>
    </row>
    <row r="22" spans="1:9" x14ac:dyDescent="0.2">
      <c r="A22" t="s">
        <v>32</v>
      </c>
      <c r="B22" t="s">
        <v>29</v>
      </c>
      <c r="C22">
        <v>1</v>
      </c>
      <c r="D22">
        <v>4</v>
      </c>
      <c r="E22">
        <v>4</v>
      </c>
      <c r="F22">
        <v>396</v>
      </c>
      <c r="G22">
        <v>38</v>
      </c>
      <c r="H22">
        <v>476</v>
      </c>
      <c r="I22" t="s">
        <v>33</v>
      </c>
    </row>
    <row r="23" spans="1:9" x14ac:dyDescent="0.2">
      <c r="A23" t="s">
        <v>32</v>
      </c>
      <c r="B23" t="s">
        <v>37</v>
      </c>
      <c r="C23">
        <v>0</v>
      </c>
      <c r="D23">
        <v>3</v>
      </c>
      <c r="E23">
        <v>0</v>
      </c>
      <c r="F23">
        <v>410</v>
      </c>
      <c r="G23">
        <v>38</v>
      </c>
      <c r="H23">
        <v>476</v>
      </c>
      <c r="I23" t="s">
        <v>33</v>
      </c>
    </row>
    <row r="24" spans="1:9" x14ac:dyDescent="0.2">
      <c r="A24" t="s">
        <v>32</v>
      </c>
      <c r="B24" t="s">
        <v>23</v>
      </c>
      <c r="C24">
        <v>2</v>
      </c>
      <c r="D24">
        <v>2</v>
      </c>
      <c r="E24">
        <v>4</v>
      </c>
      <c r="F24">
        <v>448</v>
      </c>
      <c r="G24">
        <v>38</v>
      </c>
      <c r="H24">
        <v>476</v>
      </c>
      <c r="I24" t="s">
        <v>33</v>
      </c>
    </row>
    <row r="25" spans="1:9" x14ac:dyDescent="0.2">
      <c r="A25" t="s">
        <v>32</v>
      </c>
      <c r="B25" t="s">
        <v>26</v>
      </c>
      <c r="C25">
        <v>0</v>
      </c>
      <c r="D25">
        <v>1</v>
      </c>
      <c r="E25">
        <v>0</v>
      </c>
      <c r="F25">
        <v>438</v>
      </c>
      <c r="G25">
        <v>38</v>
      </c>
      <c r="H25">
        <v>476</v>
      </c>
      <c r="I25" t="s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35</v>
      </c>
      <c r="B2" t="s">
        <v>18</v>
      </c>
      <c r="C2">
        <v>2</v>
      </c>
      <c r="D2">
        <v>24</v>
      </c>
      <c r="E2">
        <v>48</v>
      </c>
      <c r="F2">
        <v>1056</v>
      </c>
      <c r="G2">
        <v>95</v>
      </c>
      <c r="H2">
        <v>1056</v>
      </c>
      <c r="I2" t="s">
        <v>36</v>
      </c>
    </row>
    <row r="3" spans="1:9" x14ac:dyDescent="0.2">
      <c r="A3" t="s">
        <v>35</v>
      </c>
      <c r="B3" t="s">
        <v>66</v>
      </c>
      <c r="C3">
        <v>5</v>
      </c>
      <c r="D3">
        <v>23</v>
      </c>
      <c r="E3">
        <v>115</v>
      </c>
      <c r="F3">
        <v>1103</v>
      </c>
      <c r="G3">
        <v>95</v>
      </c>
      <c r="H3">
        <v>1056</v>
      </c>
      <c r="I3" t="s">
        <v>36</v>
      </c>
    </row>
    <row r="4" spans="1:9" x14ac:dyDescent="0.2">
      <c r="A4" t="s">
        <v>35</v>
      </c>
      <c r="B4" t="s">
        <v>41</v>
      </c>
      <c r="C4">
        <v>1</v>
      </c>
      <c r="D4">
        <v>22</v>
      </c>
      <c r="E4">
        <v>22</v>
      </c>
      <c r="F4">
        <v>1078</v>
      </c>
      <c r="G4">
        <v>95</v>
      </c>
      <c r="H4">
        <v>1056</v>
      </c>
      <c r="I4" t="s">
        <v>36</v>
      </c>
    </row>
    <row r="5" spans="1:9" x14ac:dyDescent="0.2">
      <c r="A5" t="s">
        <v>35</v>
      </c>
      <c r="B5" t="s">
        <v>12</v>
      </c>
      <c r="C5">
        <v>1</v>
      </c>
      <c r="D5">
        <v>21</v>
      </c>
      <c r="E5">
        <v>21</v>
      </c>
      <c r="F5">
        <v>1149</v>
      </c>
      <c r="G5">
        <v>95</v>
      </c>
      <c r="H5">
        <v>1056</v>
      </c>
      <c r="I5" t="s">
        <v>36</v>
      </c>
    </row>
    <row r="6" spans="1:9" x14ac:dyDescent="0.2">
      <c r="A6" t="s">
        <v>35</v>
      </c>
      <c r="B6" t="s">
        <v>67</v>
      </c>
      <c r="C6">
        <v>11</v>
      </c>
      <c r="D6">
        <v>20</v>
      </c>
      <c r="E6">
        <v>220</v>
      </c>
      <c r="F6">
        <v>1220</v>
      </c>
      <c r="G6">
        <v>95</v>
      </c>
      <c r="H6">
        <v>1056</v>
      </c>
      <c r="I6" t="s">
        <v>36</v>
      </c>
    </row>
    <row r="7" spans="1:9" x14ac:dyDescent="0.2">
      <c r="A7" t="s">
        <v>35</v>
      </c>
      <c r="B7" t="s">
        <v>68</v>
      </c>
      <c r="C7">
        <v>2</v>
      </c>
      <c r="D7">
        <v>19</v>
      </c>
      <c r="E7">
        <v>38</v>
      </c>
      <c r="F7">
        <v>1051</v>
      </c>
      <c r="G7">
        <v>95</v>
      </c>
      <c r="H7">
        <v>1056</v>
      </c>
      <c r="I7" t="s">
        <v>36</v>
      </c>
    </row>
    <row r="8" spans="1:9" x14ac:dyDescent="0.2">
      <c r="A8" t="s">
        <v>35</v>
      </c>
      <c r="B8" t="s">
        <v>69</v>
      </c>
      <c r="C8">
        <v>1</v>
      </c>
      <c r="D8">
        <v>18</v>
      </c>
      <c r="E8">
        <v>18</v>
      </c>
      <c r="F8">
        <v>1098</v>
      </c>
      <c r="G8">
        <v>95</v>
      </c>
      <c r="H8">
        <v>1056</v>
      </c>
      <c r="I8" t="s">
        <v>36</v>
      </c>
    </row>
    <row r="9" spans="1:9" x14ac:dyDescent="0.2">
      <c r="A9" t="s">
        <v>35</v>
      </c>
      <c r="B9" t="s">
        <v>70</v>
      </c>
      <c r="C9">
        <v>0</v>
      </c>
      <c r="D9">
        <v>17</v>
      </c>
      <c r="E9">
        <v>0</v>
      </c>
      <c r="F9">
        <v>1169</v>
      </c>
      <c r="G9">
        <v>95</v>
      </c>
      <c r="H9">
        <v>1056</v>
      </c>
      <c r="I9" t="s">
        <v>36</v>
      </c>
    </row>
    <row r="10" spans="1:9" x14ac:dyDescent="0.2">
      <c r="A10" t="s">
        <v>35</v>
      </c>
      <c r="B10" t="s">
        <v>43</v>
      </c>
      <c r="C10">
        <v>3</v>
      </c>
      <c r="D10">
        <v>16</v>
      </c>
      <c r="E10">
        <v>48</v>
      </c>
      <c r="F10">
        <v>1264</v>
      </c>
      <c r="G10">
        <v>95</v>
      </c>
      <c r="H10">
        <v>1056</v>
      </c>
      <c r="I10" t="s">
        <v>36</v>
      </c>
    </row>
    <row r="11" spans="1:9" x14ac:dyDescent="0.2">
      <c r="A11" t="s">
        <v>35</v>
      </c>
      <c r="B11" t="s">
        <v>71</v>
      </c>
      <c r="C11">
        <v>1</v>
      </c>
      <c r="D11">
        <v>15</v>
      </c>
      <c r="E11">
        <v>15</v>
      </c>
      <c r="F11">
        <v>1287</v>
      </c>
      <c r="G11">
        <v>95</v>
      </c>
      <c r="H11">
        <v>1056</v>
      </c>
      <c r="I11" t="s">
        <v>36</v>
      </c>
    </row>
    <row r="12" spans="1:9" x14ac:dyDescent="0.2">
      <c r="A12" t="s">
        <v>35</v>
      </c>
      <c r="B12" t="s">
        <v>46</v>
      </c>
      <c r="C12">
        <v>3</v>
      </c>
      <c r="D12">
        <v>14</v>
      </c>
      <c r="E12">
        <v>42</v>
      </c>
      <c r="F12">
        <v>1358</v>
      </c>
      <c r="G12">
        <v>95</v>
      </c>
      <c r="H12">
        <v>1056</v>
      </c>
      <c r="I12" t="s">
        <v>36</v>
      </c>
    </row>
    <row r="13" spans="1:9" x14ac:dyDescent="0.2">
      <c r="A13" t="s">
        <v>35</v>
      </c>
      <c r="B13" t="s">
        <v>36</v>
      </c>
      <c r="C13">
        <v>3</v>
      </c>
      <c r="D13">
        <v>13</v>
      </c>
      <c r="E13">
        <v>39</v>
      </c>
      <c r="F13">
        <v>1381</v>
      </c>
      <c r="G13">
        <v>95</v>
      </c>
      <c r="H13">
        <v>1056</v>
      </c>
      <c r="I13" t="s">
        <v>36</v>
      </c>
    </row>
    <row r="14" spans="1:9" x14ac:dyDescent="0.2">
      <c r="A14" t="s">
        <v>35</v>
      </c>
      <c r="B14" t="s">
        <v>48</v>
      </c>
      <c r="C14">
        <v>2</v>
      </c>
      <c r="D14">
        <v>12</v>
      </c>
      <c r="E14">
        <v>24</v>
      </c>
      <c r="F14">
        <v>1404</v>
      </c>
      <c r="G14">
        <v>95</v>
      </c>
      <c r="H14">
        <v>1056</v>
      </c>
      <c r="I14" t="s">
        <v>36</v>
      </c>
    </row>
    <row r="15" spans="1:9" x14ac:dyDescent="0.2">
      <c r="A15" t="s">
        <v>35</v>
      </c>
      <c r="B15" t="s">
        <v>15</v>
      </c>
      <c r="C15">
        <v>2</v>
      </c>
      <c r="D15">
        <v>11</v>
      </c>
      <c r="E15">
        <v>22</v>
      </c>
      <c r="F15">
        <v>1451</v>
      </c>
      <c r="G15">
        <v>95</v>
      </c>
      <c r="H15">
        <v>1056</v>
      </c>
      <c r="I15" t="s">
        <v>36</v>
      </c>
    </row>
    <row r="16" spans="1:9" x14ac:dyDescent="0.2">
      <c r="A16" t="s">
        <v>35</v>
      </c>
      <c r="B16" t="s">
        <v>40</v>
      </c>
      <c r="C16">
        <v>14</v>
      </c>
      <c r="D16">
        <v>10</v>
      </c>
      <c r="E16">
        <v>140</v>
      </c>
      <c r="F16">
        <v>1498</v>
      </c>
      <c r="G16">
        <v>95</v>
      </c>
      <c r="H16">
        <v>1056</v>
      </c>
      <c r="I16" t="s">
        <v>36</v>
      </c>
    </row>
    <row r="17" spans="1:9" x14ac:dyDescent="0.2">
      <c r="A17" t="s">
        <v>35</v>
      </c>
      <c r="B17" t="s">
        <v>72</v>
      </c>
      <c r="C17">
        <v>9</v>
      </c>
      <c r="D17">
        <v>9</v>
      </c>
      <c r="E17">
        <v>81</v>
      </c>
      <c r="F17">
        <v>1257</v>
      </c>
      <c r="G17">
        <v>95</v>
      </c>
      <c r="H17">
        <v>1056</v>
      </c>
      <c r="I17" t="s">
        <v>36</v>
      </c>
    </row>
    <row r="18" spans="1:9" x14ac:dyDescent="0.2">
      <c r="A18" t="s">
        <v>35</v>
      </c>
      <c r="B18" t="s">
        <v>34</v>
      </c>
      <c r="C18">
        <v>8</v>
      </c>
      <c r="D18">
        <v>8</v>
      </c>
      <c r="E18">
        <v>64</v>
      </c>
      <c r="F18">
        <v>1136</v>
      </c>
      <c r="G18">
        <v>95</v>
      </c>
      <c r="H18">
        <v>1056</v>
      </c>
      <c r="I18" t="s">
        <v>36</v>
      </c>
    </row>
    <row r="19" spans="1:9" x14ac:dyDescent="0.2">
      <c r="A19" t="s">
        <v>35</v>
      </c>
      <c r="B19" t="s">
        <v>9</v>
      </c>
      <c r="C19">
        <v>3</v>
      </c>
      <c r="D19">
        <v>7</v>
      </c>
      <c r="E19">
        <v>21</v>
      </c>
      <c r="F19">
        <v>1039</v>
      </c>
      <c r="G19">
        <v>95</v>
      </c>
      <c r="H19">
        <v>1056</v>
      </c>
      <c r="I19" t="s">
        <v>36</v>
      </c>
    </row>
    <row r="20" spans="1:9" x14ac:dyDescent="0.2">
      <c r="A20" t="s">
        <v>35</v>
      </c>
      <c r="B20" t="s">
        <v>52</v>
      </c>
      <c r="C20">
        <v>0</v>
      </c>
      <c r="D20">
        <v>6</v>
      </c>
      <c r="E20">
        <v>0</v>
      </c>
      <c r="F20">
        <v>1062</v>
      </c>
      <c r="G20">
        <v>95</v>
      </c>
      <c r="H20">
        <v>1056</v>
      </c>
      <c r="I20" t="s">
        <v>36</v>
      </c>
    </row>
    <row r="21" spans="1:9" x14ac:dyDescent="0.2">
      <c r="A21" t="s">
        <v>35</v>
      </c>
      <c r="B21" t="s">
        <v>21</v>
      </c>
      <c r="C21">
        <v>6</v>
      </c>
      <c r="D21">
        <v>5</v>
      </c>
      <c r="E21">
        <v>30</v>
      </c>
      <c r="F21">
        <v>1157</v>
      </c>
      <c r="G21">
        <v>95</v>
      </c>
      <c r="H21">
        <v>1056</v>
      </c>
      <c r="I21" t="s">
        <v>36</v>
      </c>
    </row>
    <row r="22" spans="1:9" x14ac:dyDescent="0.2">
      <c r="A22" t="s">
        <v>35</v>
      </c>
      <c r="B22" t="s">
        <v>29</v>
      </c>
      <c r="C22">
        <v>8</v>
      </c>
      <c r="D22">
        <v>4</v>
      </c>
      <c r="E22">
        <v>32</v>
      </c>
      <c r="F22">
        <v>1108</v>
      </c>
      <c r="G22">
        <v>95</v>
      </c>
      <c r="H22">
        <v>1056</v>
      </c>
      <c r="I22" t="s">
        <v>36</v>
      </c>
    </row>
    <row r="23" spans="1:9" x14ac:dyDescent="0.2">
      <c r="A23" t="s">
        <v>35</v>
      </c>
      <c r="B23" t="s">
        <v>37</v>
      </c>
      <c r="C23">
        <v>1</v>
      </c>
      <c r="D23">
        <v>3</v>
      </c>
      <c r="E23">
        <v>3</v>
      </c>
      <c r="F23">
        <v>1011</v>
      </c>
      <c r="G23">
        <v>95</v>
      </c>
      <c r="H23">
        <v>1056</v>
      </c>
      <c r="I23" t="s">
        <v>36</v>
      </c>
    </row>
    <row r="24" spans="1:9" x14ac:dyDescent="0.2">
      <c r="A24" t="s">
        <v>35</v>
      </c>
      <c r="B24" t="s">
        <v>23</v>
      </c>
      <c r="C24">
        <v>4</v>
      </c>
      <c r="D24">
        <v>2</v>
      </c>
      <c r="E24">
        <v>8</v>
      </c>
      <c r="F24">
        <v>1082</v>
      </c>
      <c r="G24">
        <v>95</v>
      </c>
      <c r="H24">
        <v>1056</v>
      </c>
      <c r="I24" t="s">
        <v>36</v>
      </c>
    </row>
    <row r="25" spans="1:9" x14ac:dyDescent="0.2">
      <c r="A25" t="s">
        <v>35</v>
      </c>
      <c r="B25" t="s">
        <v>26</v>
      </c>
      <c r="C25">
        <v>5</v>
      </c>
      <c r="D25">
        <v>1</v>
      </c>
      <c r="E25">
        <v>5</v>
      </c>
      <c r="F25">
        <v>1081</v>
      </c>
      <c r="G25">
        <v>95</v>
      </c>
      <c r="H25">
        <v>1056</v>
      </c>
      <c r="I25" t="s">
        <v>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38</v>
      </c>
      <c r="B2" t="s">
        <v>18</v>
      </c>
      <c r="C2">
        <v>2</v>
      </c>
      <c r="D2">
        <v>24</v>
      </c>
      <c r="E2">
        <v>48</v>
      </c>
      <c r="F2">
        <v>763</v>
      </c>
      <c r="G2">
        <v>63</v>
      </c>
      <c r="H2">
        <v>763</v>
      </c>
      <c r="I2" t="s">
        <v>15</v>
      </c>
    </row>
    <row r="3" spans="1:9" x14ac:dyDescent="0.2">
      <c r="A3" t="s">
        <v>38</v>
      </c>
      <c r="B3" t="s">
        <v>66</v>
      </c>
      <c r="C3">
        <v>5</v>
      </c>
      <c r="D3">
        <v>23</v>
      </c>
      <c r="E3">
        <v>115</v>
      </c>
      <c r="F3">
        <v>778</v>
      </c>
      <c r="G3">
        <v>63</v>
      </c>
      <c r="H3">
        <v>763</v>
      </c>
      <c r="I3" t="s">
        <v>15</v>
      </c>
    </row>
    <row r="4" spans="1:9" x14ac:dyDescent="0.2">
      <c r="A4" t="s">
        <v>38</v>
      </c>
      <c r="B4" t="s">
        <v>41</v>
      </c>
      <c r="C4">
        <v>0</v>
      </c>
      <c r="D4">
        <v>22</v>
      </c>
      <c r="E4">
        <v>0</v>
      </c>
      <c r="F4">
        <v>721</v>
      </c>
      <c r="G4">
        <v>63</v>
      </c>
      <c r="H4">
        <v>763</v>
      </c>
      <c r="I4" t="s">
        <v>15</v>
      </c>
    </row>
    <row r="5" spans="1:9" x14ac:dyDescent="0.2">
      <c r="A5" t="s">
        <v>38</v>
      </c>
      <c r="B5" t="s">
        <v>12</v>
      </c>
      <c r="C5">
        <v>0</v>
      </c>
      <c r="D5">
        <v>21</v>
      </c>
      <c r="E5">
        <v>0</v>
      </c>
      <c r="F5">
        <v>784</v>
      </c>
      <c r="G5">
        <v>63</v>
      </c>
      <c r="H5">
        <v>763</v>
      </c>
      <c r="I5" t="s">
        <v>15</v>
      </c>
    </row>
    <row r="6" spans="1:9" x14ac:dyDescent="0.2">
      <c r="A6" t="s">
        <v>38</v>
      </c>
      <c r="B6" t="s">
        <v>67</v>
      </c>
      <c r="C6">
        <v>7</v>
      </c>
      <c r="D6">
        <v>20</v>
      </c>
      <c r="E6">
        <v>140</v>
      </c>
      <c r="F6">
        <v>847</v>
      </c>
      <c r="G6">
        <v>63</v>
      </c>
      <c r="H6">
        <v>763</v>
      </c>
      <c r="I6" t="s">
        <v>15</v>
      </c>
    </row>
    <row r="7" spans="1:9" x14ac:dyDescent="0.2">
      <c r="A7" t="s">
        <v>38</v>
      </c>
      <c r="B7" t="s">
        <v>68</v>
      </c>
      <c r="C7">
        <v>0</v>
      </c>
      <c r="D7">
        <v>19</v>
      </c>
      <c r="E7">
        <v>0</v>
      </c>
      <c r="F7">
        <v>742</v>
      </c>
      <c r="G7">
        <v>63</v>
      </c>
      <c r="H7">
        <v>763</v>
      </c>
      <c r="I7" t="s">
        <v>15</v>
      </c>
    </row>
    <row r="8" spans="1:9" x14ac:dyDescent="0.2">
      <c r="A8" t="s">
        <v>38</v>
      </c>
      <c r="B8" t="s">
        <v>69</v>
      </c>
      <c r="C8">
        <v>0</v>
      </c>
      <c r="D8">
        <v>18</v>
      </c>
      <c r="E8">
        <v>0</v>
      </c>
      <c r="F8">
        <v>805</v>
      </c>
      <c r="G8">
        <v>63</v>
      </c>
      <c r="H8">
        <v>763</v>
      </c>
      <c r="I8" t="s">
        <v>15</v>
      </c>
    </row>
    <row r="9" spans="1:9" x14ac:dyDescent="0.2">
      <c r="A9" t="s">
        <v>38</v>
      </c>
      <c r="B9" t="s">
        <v>70</v>
      </c>
      <c r="C9">
        <v>7</v>
      </c>
      <c r="D9">
        <v>17</v>
      </c>
      <c r="E9">
        <v>119</v>
      </c>
      <c r="F9">
        <v>868</v>
      </c>
      <c r="G9">
        <v>63</v>
      </c>
      <c r="H9">
        <v>763</v>
      </c>
      <c r="I9" t="s">
        <v>15</v>
      </c>
    </row>
    <row r="10" spans="1:9" x14ac:dyDescent="0.2">
      <c r="A10" t="s">
        <v>38</v>
      </c>
      <c r="B10" t="s">
        <v>43</v>
      </c>
      <c r="C10">
        <v>1</v>
      </c>
      <c r="D10">
        <v>16</v>
      </c>
      <c r="E10">
        <v>16</v>
      </c>
      <c r="F10">
        <v>763</v>
      </c>
      <c r="G10">
        <v>63</v>
      </c>
      <c r="H10">
        <v>763</v>
      </c>
      <c r="I10" t="s">
        <v>15</v>
      </c>
    </row>
    <row r="11" spans="1:9" x14ac:dyDescent="0.2">
      <c r="A11" t="s">
        <v>38</v>
      </c>
      <c r="B11" t="s">
        <v>71</v>
      </c>
      <c r="C11">
        <v>0</v>
      </c>
      <c r="D11">
        <v>15</v>
      </c>
      <c r="E11">
        <v>0</v>
      </c>
      <c r="F11">
        <v>802</v>
      </c>
      <c r="G11">
        <v>63</v>
      </c>
      <c r="H11">
        <v>763</v>
      </c>
      <c r="I11" t="s">
        <v>15</v>
      </c>
    </row>
    <row r="12" spans="1:9" x14ac:dyDescent="0.2">
      <c r="A12" t="s">
        <v>38</v>
      </c>
      <c r="B12" t="s">
        <v>46</v>
      </c>
      <c r="C12">
        <v>2</v>
      </c>
      <c r="D12">
        <v>14</v>
      </c>
      <c r="E12">
        <v>28</v>
      </c>
      <c r="F12">
        <v>865</v>
      </c>
      <c r="G12">
        <v>63</v>
      </c>
      <c r="H12">
        <v>763</v>
      </c>
      <c r="I12" t="s">
        <v>15</v>
      </c>
    </row>
    <row r="13" spans="1:9" x14ac:dyDescent="0.2">
      <c r="A13" t="s">
        <v>38</v>
      </c>
      <c r="B13" t="s">
        <v>36</v>
      </c>
      <c r="C13">
        <v>2</v>
      </c>
      <c r="D13">
        <v>13</v>
      </c>
      <c r="E13">
        <v>26</v>
      </c>
      <c r="F13">
        <v>880</v>
      </c>
      <c r="G13">
        <v>63</v>
      </c>
      <c r="H13">
        <v>763</v>
      </c>
      <c r="I13" t="s">
        <v>15</v>
      </c>
    </row>
    <row r="14" spans="1:9" x14ac:dyDescent="0.2">
      <c r="A14" t="s">
        <v>38</v>
      </c>
      <c r="B14" t="s">
        <v>48</v>
      </c>
      <c r="C14">
        <v>3</v>
      </c>
      <c r="D14">
        <v>12</v>
      </c>
      <c r="E14">
        <v>36</v>
      </c>
      <c r="F14">
        <v>895</v>
      </c>
      <c r="G14">
        <v>63</v>
      </c>
      <c r="H14">
        <v>763</v>
      </c>
      <c r="I14" t="s">
        <v>15</v>
      </c>
    </row>
    <row r="15" spans="1:9" x14ac:dyDescent="0.2">
      <c r="A15" t="s">
        <v>38</v>
      </c>
      <c r="B15" t="s">
        <v>15</v>
      </c>
      <c r="C15">
        <v>3</v>
      </c>
      <c r="D15">
        <v>11</v>
      </c>
      <c r="E15">
        <v>33</v>
      </c>
      <c r="F15">
        <v>886</v>
      </c>
      <c r="G15">
        <v>63</v>
      </c>
      <c r="H15">
        <v>763</v>
      </c>
      <c r="I15" t="s">
        <v>15</v>
      </c>
    </row>
    <row r="16" spans="1:9" x14ac:dyDescent="0.2">
      <c r="A16" t="s">
        <v>38</v>
      </c>
      <c r="B16" t="s">
        <v>40</v>
      </c>
      <c r="C16">
        <v>6</v>
      </c>
      <c r="D16">
        <v>10</v>
      </c>
      <c r="E16">
        <v>60</v>
      </c>
      <c r="F16">
        <v>877</v>
      </c>
      <c r="G16">
        <v>63</v>
      </c>
      <c r="H16">
        <v>763</v>
      </c>
      <c r="I16" t="s">
        <v>15</v>
      </c>
    </row>
    <row r="17" spans="1:9" x14ac:dyDescent="0.2">
      <c r="A17" t="s">
        <v>38</v>
      </c>
      <c r="B17" t="s">
        <v>72</v>
      </c>
      <c r="C17">
        <v>9</v>
      </c>
      <c r="D17">
        <v>9</v>
      </c>
      <c r="E17">
        <v>81</v>
      </c>
      <c r="F17">
        <v>796</v>
      </c>
      <c r="G17">
        <v>63</v>
      </c>
      <c r="H17">
        <v>763</v>
      </c>
      <c r="I17" t="s">
        <v>15</v>
      </c>
    </row>
    <row r="18" spans="1:9" x14ac:dyDescent="0.2">
      <c r="A18" t="s">
        <v>38</v>
      </c>
      <c r="B18" t="s">
        <v>34</v>
      </c>
      <c r="C18">
        <v>0</v>
      </c>
      <c r="D18">
        <v>8</v>
      </c>
      <c r="E18">
        <v>0</v>
      </c>
      <c r="F18">
        <v>643</v>
      </c>
      <c r="G18">
        <v>63</v>
      </c>
      <c r="H18">
        <v>763</v>
      </c>
      <c r="I18" t="s">
        <v>15</v>
      </c>
    </row>
    <row r="19" spans="1:9" x14ac:dyDescent="0.2">
      <c r="A19" t="s">
        <v>38</v>
      </c>
      <c r="B19" t="s">
        <v>9</v>
      </c>
      <c r="C19">
        <v>0</v>
      </c>
      <c r="D19">
        <v>7</v>
      </c>
      <c r="E19">
        <v>0</v>
      </c>
      <c r="F19">
        <v>706</v>
      </c>
      <c r="G19">
        <v>63</v>
      </c>
      <c r="H19">
        <v>763</v>
      </c>
      <c r="I19" t="s">
        <v>15</v>
      </c>
    </row>
    <row r="20" spans="1:9" x14ac:dyDescent="0.2">
      <c r="A20" t="s">
        <v>38</v>
      </c>
      <c r="B20" t="s">
        <v>52</v>
      </c>
      <c r="C20">
        <v>4</v>
      </c>
      <c r="D20">
        <v>6</v>
      </c>
      <c r="E20">
        <v>24</v>
      </c>
      <c r="F20">
        <v>769</v>
      </c>
      <c r="G20">
        <v>63</v>
      </c>
      <c r="H20">
        <v>763</v>
      </c>
      <c r="I20" t="s">
        <v>15</v>
      </c>
    </row>
    <row r="21" spans="1:9" x14ac:dyDescent="0.2">
      <c r="A21" t="s">
        <v>38</v>
      </c>
      <c r="B21" t="s">
        <v>21</v>
      </c>
      <c r="C21">
        <v>3</v>
      </c>
      <c r="D21">
        <v>5</v>
      </c>
      <c r="E21">
        <v>15</v>
      </c>
      <c r="F21">
        <v>736</v>
      </c>
      <c r="G21">
        <v>63</v>
      </c>
      <c r="H21">
        <v>763</v>
      </c>
      <c r="I21" t="s">
        <v>15</v>
      </c>
    </row>
    <row r="22" spans="1:9" x14ac:dyDescent="0.2">
      <c r="A22" t="s">
        <v>38</v>
      </c>
      <c r="B22" t="s">
        <v>29</v>
      </c>
      <c r="C22">
        <v>3</v>
      </c>
      <c r="D22">
        <v>4</v>
      </c>
      <c r="E22">
        <v>12</v>
      </c>
      <c r="F22">
        <v>727</v>
      </c>
      <c r="G22">
        <v>63</v>
      </c>
      <c r="H22">
        <v>763</v>
      </c>
      <c r="I22" t="s">
        <v>15</v>
      </c>
    </row>
    <row r="23" spans="1:9" x14ac:dyDescent="0.2">
      <c r="A23" t="s">
        <v>38</v>
      </c>
      <c r="B23" t="s">
        <v>37</v>
      </c>
      <c r="C23">
        <v>0</v>
      </c>
      <c r="D23">
        <v>3</v>
      </c>
      <c r="E23">
        <v>0</v>
      </c>
      <c r="F23">
        <v>718</v>
      </c>
      <c r="G23">
        <v>63</v>
      </c>
      <c r="H23">
        <v>763</v>
      </c>
      <c r="I23" t="s">
        <v>15</v>
      </c>
    </row>
    <row r="24" spans="1:9" x14ac:dyDescent="0.2">
      <c r="A24" t="s">
        <v>38</v>
      </c>
      <c r="B24" t="s">
        <v>23</v>
      </c>
      <c r="C24">
        <v>4</v>
      </c>
      <c r="D24">
        <v>2</v>
      </c>
      <c r="E24">
        <v>8</v>
      </c>
      <c r="F24">
        <v>781</v>
      </c>
      <c r="G24">
        <v>63</v>
      </c>
      <c r="H24">
        <v>763</v>
      </c>
      <c r="I24" t="s">
        <v>15</v>
      </c>
    </row>
    <row r="25" spans="1:9" x14ac:dyDescent="0.2">
      <c r="A25" t="s">
        <v>38</v>
      </c>
      <c r="B25" t="s">
        <v>26</v>
      </c>
      <c r="C25">
        <v>2</v>
      </c>
      <c r="D25">
        <v>1</v>
      </c>
      <c r="E25">
        <v>2</v>
      </c>
      <c r="F25">
        <v>748</v>
      </c>
      <c r="G25">
        <v>63</v>
      </c>
      <c r="H25">
        <v>763</v>
      </c>
      <c r="I25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39</v>
      </c>
      <c r="B2" t="s">
        <v>18</v>
      </c>
      <c r="C2">
        <v>3</v>
      </c>
      <c r="D2">
        <v>24</v>
      </c>
      <c r="E2">
        <v>72</v>
      </c>
      <c r="F2">
        <v>440</v>
      </c>
      <c r="G2">
        <v>39</v>
      </c>
      <c r="H2">
        <v>440</v>
      </c>
      <c r="I2" t="s">
        <v>40</v>
      </c>
    </row>
    <row r="3" spans="1:9" x14ac:dyDescent="0.2">
      <c r="A3" t="s">
        <v>39</v>
      </c>
      <c r="B3" t="s">
        <v>66</v>
      </c>
      <c r="C3">
        <v>3</v>
      </c>
      <c r="D3">
        <v>23</v>
      </c>
      <c r="E3">
        <v>69</v>
      </c>
      <c r="F3">
        <v>407</v>
      </c>
      <c r="G3">
        <v>39</v>
      </c>
      <c r="H3">
        <v>440</v>
      </c>
      <c r="I3" t="s">
        <v>40</v>
      </c>
    </row>
    <row r="4" spans="1:9" x14ac:dyDescent="0.2">
      <c r="A4" t="s">
        <v>39</v>
      </c>
      <c r="B4" t="s">
        <v>41</v>
      </c>
      <c r="C4">
        <v>0</v>
      </c>
      <c r="D4">
        <v>22</v>
      </c>
      <c r="E4">
        <v>0</v>
      </c>
      <c r="F4">
        <v>374</v>
      </c>
      <c r="G4">
        <v>39</v>
      </c>
      <c r="H4">
        <v>440</v>
      </c>
      <c r="I4" t="s">
        <v>40</v>
      </c>
    </row>
    <row r="5" spans="1:9" x14ac:dyDescent="0.2">
      <c r="A5" t="s">
        <v>39</v>
      </c>
      <c r="B5" t="s">
        <v>12</v>
      </c>
      <c r="C5">
        <v>1</v>
      </c>
      <c r="D5">
        <v>21</v>
      </c>
      <c r="E5">
        <v>21</v>
      </c>
      <c r="F5">
        <v>413</v>
      </c>
      <c r="G5">
        <v>39</v>
      </c>
      <c r="H5">
        <v>440</v>
      </c>
      <c r="I5" t="s">
        <v>40</v>
      </c>
    </row>
    <row r="6" spans="1:9" x14ac:dyDescent="0.2">
      <c r="A6" t="s">
        <v>39</v>
      </c>
      <c r="B6" t="s">
        <v>67</v>
      </c>
      <c r="C6">
        <v>1</v>
      </c>
      <c r="D6">
        <v>20</v>
      </c>
      <c r="E6">
        <v>20</v>
      </c>
      <c r="F6">
        <v>428</v>
      </c>
      <c r="G6">
        <v>39</v>
      </c>
      <c r="H6">
        <v>440</v>
      </c>
      <c r="I6" t="s">
        <v>40</v>
      </c>
    </row>
    <row r="7" spans="1:9" x14ac:dyDescent="0.2">
      <c r="A7" t="s">
        <v>39</v>
      </c>
      <c r="B7" t="s">
        <v>68</v>
      </c>
      <c r="C7">
        <v>0</v>
      </c>
      <c r="D7">
        <v>19</v>
      </c>
      <c r="E7">
        <v>0</v>
      </c>
      <c r="F7">
        <v>443</v>
      </c>
      <c r="G7">
        <v>39</v>
      </c>
      <c r="H7">
        <v>440</v>
      </c>
      <c r="I7" t="s">
        <v>40</v>
      </c>
    </row>
    <row r="8" spans="1:9" x14ac:dyDescent="0.2">
      <c r="A8" t="s">
        <v>39</v>
      </c>
      <c r="B8" t="s">
        <v>69</v>
      </c>
      <c r="C8">
        <v>1</v>
      </c>
      <c r="D8">
        <v>18</v>
      </c>
      <c r="E8">
        <v>18</v>
      </c>
      <c r="F8">
        <v>482</v>
      </c>
      <c r="G8">
        <v>39</v>
      </c>
      <c r="H8">
        <v>440</v>
      </c>
      <c r="I8" t="s">
        <v>40</v>
      </c>
    </row>
    <row r="9" spans="1:9" x14ac:dyDescent="0.2">
      <c r="A9" t="s">
        <v>39</v>
      </c>
      <c r="B9" t="s">
        <v>70</v>
      </c>
      <c r="C9">
        <v>2</v>
      </c>
      <c r="D9">
        <v>17</v>
      </c>
      <c r="E9">
        <v>34</v>
      </c>
      <c r="F9">
        <v>497</v>
      </c>
      <c r="G9">
        <v>39</v>
      </c>
      <c r="H9">
        <v>440</v>
      </c>
      <c r="I9" t="s">
        <v>40</v>
      </c>
    </row>
    <row r="10" spans="1:9" x14ac:dyDescent="0.2">
      <c r="A10" t="s">
        <v>39</v>
      </c>
      <c r="B10" t="s">
        <v>43</v>
      </c>
      <c r="C10">
        <v>1</v>
      </c>
      <c r="D10">
        <v>16</v>
      </c>
      <c r="E10">
        <v>16</v>
      </c>
      <c r="F10">
        <v>488</v>
      </c>
      <c r="G10">
        <v>39</v>
      </c>
      <c r="H10">
        <v>440</v>
      </c>
      <c r="I10" t="s">
        <v>40</v>
      </c>
    </row>
    <row r="11" spans="1:9" x14ac:dyDescent="0.2">
      <c r="A11" t="s">
        <v>39</v>
      </c>
      <c r="B11" t="s">
        <v>71</v>
      </c>
      <c r="C11">
        <v>1</v>
      </c>
      <c r="D11">
        <v>15</v>
      </c>
      <c r="E11">
        <v>15</v>
      </c>
      <c r="F11">
        <v>503</v>
      </c>
      <c r="G11">
        <v>39</v>
      </c>
      <c r="H11">
        <v>440</v>
      </c>
      <c r="I11" t="s">
        <v>40</v>
      </c>
    </row>
    <row r="12" spans="1:9" x14ac:dyDescent="0.2">
      <c r="A12" t="s">
        <v>39</v>
      </c>
      <c r="B12" t="s">
        <v>46</v>
      </c>
      <c r="C12">
        <v>0</v>
      </c>
      <c r="D12">
        <v>14</v>
      </c>
      <c r="E12">
        <v>0</v>
      </c>
      <c r="F12">
        <v>518</v>
      </c>
      <c r="G12">
        <v>39</v>
      </c>
      <c r="H12">
        <v>440</v>
      </c>
      <c r="I12" t="s">
        <v>40</v>
      </c>
    </row>
    <row r="13" spans="1:9" x14ac:dyDescent="0.2">
      <c r="A13" t="s">
        <v>39</v>
      </c>
      <c r="B13" t="s">
        <v>36</v>
      </c>
      <c r="C13">
        <v>1</v>
      </c>
      <c r="D13">
        <v>13</v>
      </c>
      <c r="E13">
        <v>13</v>
      </c>
      <c r="F13">
        <v>557</v>
      </c>
      <c r="G13">
        <v>39</v>
      </c>
      <c r="H13">
        <v>440</v>
      </c>
      <c r="I13" t="s">
        <v>40</v>
      </c>
    </row>
    <row r="14" spans="1:9" x14ac:dyDescent="0.2">
      <c r="A14" t="s">
        <v>39</v>
      </c>
      <c r="B14" t="s">
        <v>48</v>
      </c>
      <c r="C14">
        <v>1</v>
      </c>
      <c r="D14">
        <v>12</v>
      </c>
      <c r="E14">
        <v>12</v>
      </c>
      <c r="F14">
        <v>572</v>
      </c>
      <c r="G14">
        <v>39</v>
      </c>
      <c r="H14">
        <v>440</v>
      </c>
      <c r="I14" t="s">
        <v>40</v>
      </c>
    </row>
    <row r="15" spans="1:9" x14ac:dyDescent="0.2">
      <c r="A15" t="s">
        <v>39</v>
      </c>
      <c r="B15" t="s">
        <v>15</v>
      </c>
      <c r="C15">
        <v>1</v>
      </c>
      <c r="D15">
        <v>11</v>
      </c>
      <c r="E15">
        <v>11</v>
      </c>
      <c r="F15">
        <v>587</v>
      </c>
      <c r="G15">
        <v>39</v>
      </c>
      <c r="H15">
        <v>440</v>
      </c>
      <c r="I15" t="s">
        <v>40</v>
      </c>
    </row>
    <row r="16" spans="1:9" x14ac:dyDescent="0.2">
      <c r="A16" t="s">
        <v>39</v>
      </c>
      <c r="B16" t="s">
        <v>40</v>
      </c>
      <c r="C16">
        <v>4</v>
      </c>
      <c r="D16">
        <v>10</v>
      </c>
      <c r="E16">
        <v>40</v>
      </c>
      <c r="F16">
        <v>602</v>
      </c>
      <c r="G16">
        <v>39</v>
      </c>
      <c r="H16">
        <v>440</v>
      </c>
      <c r="I16" t="s">
        <v>40</v>
      </c>
    </row>
    <row r="17" spans="1:9" x14ac:dyDescent="0.2">
      <c r="A17" t="s">
        <v>39</v>
      </c>
      <c r="B17" t="s">
        <v>72</v>
      </c>
      <c r="C17">
        <v>1</v>
      </c>
      <c r="D17">
        <v>9</v>
      </c>
      <c r="E17">
        <v>9</v>
      </c>
      <c r="F17">
        <v>545</v>
      </c>
      <c r="G17">
        <v>39</v>
      </c>
      <c r="H17">
        <v>440</v>
      </c>
      <c r="I17" t="s">
        <v>40</v>
      </c>
    </row>
    <row r="18" spans="1:9" x14ac:dyDescent="0.2">
      <c r="A18" t="s">
        <v>39</v>
      </c>
      <c r="B18" t="s">
        <v>34</v>
      </c>
      <c r="C18">
        <v>6</v>
      </c>
      <c r="D18">
        <v>8</v>
      </c>
      <c r="E18">
        <v>48</v>
      </c>
      <c r="F18">
        <v>560</v>
      </c>
      <c r="G18">
        <v>39</v>
      </c>
      <c r="H18">
        <v>440</v>
      </c>
      <c r="I18" t="s">
        <v>40</v>
      </c>
    </row>
    <row r="19" spans="1:9" x14ac:dyDescent="0.2">
      <c r="A19" t="s">
        <v>39</v>
      </c>
      <c r="B19" t="s">
        <v>9</v>
      </c>
      <c r="C19">
        <v>0</v>
      </c>
      <c r="D19">
        <v>7</v>
      </c>
      <c r="E19">
        <v>0</v>
      </c>
      <c r="F19">
        <v>455</v>
      </c>
      <c r="G19">
        <v>39</v>
      </c>
      <c r="H19">
        <v>440</v>
      </c>
      <c r="I19" t="s">
        <v>40</v>
      </c>
    </row>
    <row r="20" spans="1:9" x14ac:dyDescent="0.2">
      <c r="A20" t="s">
        <v>39</v>
      </c>
      <c r="B20" t="s">
        <v>52</v>
      </c>
      <c r="C20">
        <v>1</v>
      </c>
      <c r="D20">
        <v>6</v>
      </c>
      <c r="E20">
        <v>6</v>
      </c>
      <c r="F20">
        <v>494</v>
      </c>
      <c r="G20">
        <v>39</v>
      </c>
      <c r="H20">
        <v>440</v>
      </c>
      <c r="I20" t="s">
        <v>40</v>
      </c>
    </row>
    <row r="21" spans="1:9" x14ac:dyDescent="0.2">
      <c r="A21" t="s">
        <v>39</v>
      </c>
      <c r="B21" t="s">
        <v>21</v>
      </c>
      <c r="C21">
        <v>4</v>
      </c>
      <c r="D21">
        <v>5</v>
      </c>
      <c r="E21">
        <v>20</v>
      </c>
      <c r="F21">
        <v>509</v>
      </c>
      <c r="G21">
        <v>39</v>
      </c>
      <c r="H21">
        <v>440</v>
      </c>
      <c r="I21" t="s">
        <v>40</v>
      </c>
    </row>
    <row r="22" spans="1:9" x14ac:dyDescent="0.2">
      <c r="A22" t="s">
        <v>39</v>
      </c>
      <c r="B22" t="s">
        <v>29</v>
      </c>
      <c r="C22">
        <v>3</v>
      </c>
      <c r="D22">
        <v>4</v>
      </c>
      <c r="E22">
        <v>12</v>
      </c>
      <c r="F22">
        <v>452</v>
      </c>
      <c r="G22">
        <v>39</v>
      </c>
      <c r="H22">
        <v>440</v>
      </c>
      <c r="I22" t="s">
        <v>40</v>
      </c>
    </row>
    <row r="23" spans="1:9" x14ac:dyDescent="0.2">
      <c r="A23" t="s">
        <v>39</v>
      </c>
      <c r="B23" t="s">
        <v>37</v>
      </c>
      <c r="C23">
        <v>0</v>
      </c>
      <c r="D23">
        <v>3</v>
      </c>
      <c r="E23">
        <v>0</v>
      </c>
      <c r="F23">
        <v>419</v>
      </c>
      <c r="G23">
        <v>39</v>
      </c>
      <c r="H23">
        <v>440</v>
      </c>
      <c r="I23" t="s">
        <v>40</v>
      </c>
    </row>
    <row r="24" spans="1:9" x14ac:dyDescent="0.2">
      <c r="A24" t="s">
        <v>39</v>
      </c>
      <c r="B24" t="s">
        <v>23</v>
      </c>
      <c r="C24">
        <v>0</v>
      </c>
      <c r="D24">
        <v>2</v>
      </c>
      <c r="E24">
        <v>0</v>
      </c>
      <c r="F24">
        <v>458</v>
      </c>
      <c r="G24">
        <v>39</v>
      </c>
      <c r="H24">
        <v>440</v>
      </c>
      <c r="I24" t="s">
        <v>40</v>
      </c>
    </row>
    <row r="25" spans="1:9" x14ac:dyDescent="0.2">
      <c r="A25" t="s">
        <v>39</v>
      </c>
      <c r="B25" t="s">
        <v>26</v>
      </c>
      <c r="C25">
        <v>4</v>
      </c>
      <c r="D25">
        <v>1</v>
      </c>
      <c r="E25">
        <v>4</v>
      </c>
      <c r="F25">
        <v>497</v>
      </c>
      <c r="G25">
        <v>39</v>
      </c>
      <c r="H25">
        <v>440</v>
      </c>
      <c r="I25" t="s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42</v>
      </c>
      <c r="B2" t="s">
        <v>18</v>
      </c>
      <c r="C2">
        <v>10</v>
      </c>
      <c r="D2">
        <v>24</v>
      </c>
      <c r="E2">
        <v>240</v>
      </c>
      <c r="F2">
        <v>1571</v>
      </c>
      <c r="G2">
        <v>123</v>
      </c>
      <c r="H2">
        <v>1571</v>
      </c>
      <c r="I2" t="s">
        <v>40</v>
      </c>
    </row>
    <row r="3" spans="1:9" x14ac:dyDescent="0.2">
      <c r="A3" t="s">
        <v>42</v>
      </c>
      <c r="B3" t="s">
        <v>66</v>
      </c>
      <c r="C3">
        <v>4</v>
      </c>
      <c r="D3">
        <v>23</v>
      </c>
      <c r="E3">
        <v>92</v>
      </c>
      <c r="F3">
        <v>1454</v>
      </c>
      <c r="G3">
        <v>123</v>
      </c>
      <c r="H3">
        <v>1571</v>
      </c>
      <c r="I3" t="s">
        <v>40</v>
      </c>
    </row>
    <row r="4" spans="1:9" x14ac:dyDescent="0.2">
      <c r="A4" t="s">
        <v>42</v>
      </c>
      <c r="B4" t="s">
        <v>41</v>
      </c>
      <c r="C4">
        <v>6</v>
      </c>
      <c r="D4">
        <v>22</v>
      </c>
      <c r="E4">
        <v>132</v>
      </c>
      <c r="F4">
        <v>1481</v>
      </c>
      <c r="G4">
        <v>123</v>
      </c>
      <c r="H4">
        <v>1571</v>
      </c>
      <c r="I4" t="s">
        <v>40</v>
      </c>
    </row>
    <row r="5" spans="1:9" x14ac:dyDescent="0.2">
      <c r="A5" t="s">
        <v>42</v>
      </c>
      <c r="B5" t="s">
        <v>12</v>
      </c>
      <c r="C5">
        <v>7</v>
      </c>
      <c r="D5">
        <v>21</v>
      </c>
      <c r="E5">
        <v>147</v>
      </c>
      <c r="F5">
        <v>1460</v>
      </c>
      <c r="G5">
        <v>123</v>
      </c>
      <c r="H5">
        <v>1571</v>
      </c>
      <c r="I5" t="s">
        <v>40</v>
      </c>
    </row>
    <row r="6" spans="1:9" x14ac:dyDescent="0.2">
      <c r="A6" t="s">
        <v>42</v>
      </c>
      <c r="B6" t="s">
        <v>67</v>
      </c>
      <c r="C6">
        <v>1</v>
      </c>
      <c r="D6">
        <v>20</v>
      </c>
      <c r="E6">
        <v>20</v>
      </c>
      <c r="F6">
        <v>1415</v>
      </c>
      <c r="G6">
        <v>123</v>
      </c>
      <c r="H6">
        <v>1571</v>
      </c>
      <c r="I6" t="s">
        <v>40</v>
      </c>
    </row>
    <row r="7" spans="1:9" x14ac:dyDescent="0.2">
      <c r="A7" t="s">
        <v>42</v>
      </c>
      <c r="B7" t="s">
        <v>68</v>
      </c>
      <c r="C7">
        <v>8</v>
      </c>
      <c r="D7">
        <v>19</v>
      </c>
      <c r="E7">
        <v>152</v>
      </c>
      <c r="F7">
        <v>1514</v>
      </c>
      <c r="G7">
        <v>123</v>
      </c>
      <c r="H7">
        <v>1571</v>
      </c>
      <c r="I7" t="s">
        <v>40</v>
      </c>
    </row>
    <row r="8" spans="1:9" x14ac:dyDescent="0.2">
      <c r="A8" t="s">
        <v>42</v>
      </c>
      <c r="B8" t="s">
        <v>69</v>
      </c>
      <c r="C8">
        <v>3</v>
      </c>
      <c r="D8">
        <v>18</v>
      </c>
      <c r="E8">
        <v>54</v>
      </c>
      <c r="F8">
        <v>1445</v>
      </c>
      <c r="G8">
        <v>123</v>
      </c>
      <c r="H8">
        <v>1571</v>
      </c>
      <c r="I8" t="s">
        <v>40</v>
      </c>
    </row>
    <row r="9" spans="1:9" x14ac:dyDescent="0.2">
      <c r="A9" t="s">
        <v>42</v>
      </c>
      <c r="B9" t="s">
        <v>70</v>
      </c>
      <c r="C9">
        <v>10</v>
      </c>
      <c r="D9">
        <v>17</v>
      </c>
      <c r="E9">
        <v>170</v>
      </c>
      <c r="F9">
        <v>1496</v>
      </c>
      <c r="G9">
        <v>123</v>
      </c>
      <c r="H9">
        <v>1571</v>
      </c>
      <c r="I9" t="s">
        <v>40</v>
      </c>
    </row>
    <row r="10" spans="1:9" x14ac:dyDescent="0.2">
      <c r="A10" t="s">
        <v>42</v>
      </c>
      <c r="B10" t="s">
        <v>43</v>
      </c>
      <c r="C10">
        <v>2</v>
      </c>
      <c r="D10">
        <v>16</v>
      </c>
      <c r="E10">
        <v>32</v>
      </c>
      <c r="F10">
        <v>1379</v>
      </c>
      <c r="G10">
        <v>123</v>
      </c>
      <c r="H10">
        <v>1571</v>
      </c>
      <c r="I10" t="s">
        <v>40</v>
      </c>
    </row>
    <row r="11" spans="1:9" x14ac:dyDescent="0.2">
      <c r="A11" t="s">
        <v>42</v>
      </c>
      <c r="B11" t="s">
        <v>71</v>
      </c>
      <c r="C11">
        <v>6</v>
      </c>
      <c r="D11">
        <v>15</v>
      </c>
      <c r="E11">
        <v>90</v>
      </c>
      <c r="F11">
        <v>1454</v>
      </c>
      <c r="G11">
        <v>123</v>
      </c>
      <c r="H11">
        <v>1571</v>
      </c>
      <c r="I11" t="s">
        <v>40</v>
      </c>
    </row>
    <row r="12" spans="1:9" x14ac:dyDescent="0.2">
      <c r="A12" t="s">
        <v>42</v>
      </c>
      <c r="B12" t="s">
        <v>46</v>
      </c>
      <c r="C12">
        <v>0</v>
      </c>
      <c r="D12">
        <v>14</v>
      </c>
      <c r="E12">
        <v>0</v>
      </c>
      <c r="F12">
        <v>1433</v>
      </c>
      <c r="G12">
        <v>123</v>
      </c>
      <c r="H12">
        <v>1571</v>
      </c>
      <c r="I12" t="s">
        <v>40</v>
      </c>
    </row>
    <row r="13" spans="1:9" x14ac:dyDescent="0.2">
      <c r="A13" t="s">
        <v>42</v>
      </c>
      <c r="B13" t="s">
        <v>36</v>
      </c>
      <c r="C13">
        <v>3</v>
      </c>
      <c r="D13">
        <v>13</v>
      </c>
      <c r="E13">
        <v>39</v>
      </c>
      <c r="F13">
        <v>1556</v>
      </c>
      <c r="G13">
        <v>123</v>
      </c>
      <c r="H13">
        <v>1571</v>
      </c>
      <c r="I13" t="s">
        <v>40</v>
      </c>
    </row>
    <row r="14" spans="1:9" x14ac:dyDescent="0.2">
      <c r="A14" t="s">
        <v>42</v>
      </c>
      <c r="B14" t="s">
        <v>48</v>
      </c>
      <c r="C14">
        <v>4</v>
      </c>
      <c r="D14">
        <v>12</v>
      </c>
      <c r="E14">
        <v>48</v>
      </c>
      <c r="F14">
        <v>1607</v>
      </c>
      <c r="G14">
        <v>123</v>
      </c>
      <c r="H14">
        <v>1571</v>
      </c>
      <c r="I14" t="s">
        <v>40</v>
      </c>
    </row>
    <row r="15" spans="1:9" x14ac:dyDescent="0.2">
      <c r="A15" t="s">
        <v>42</v>
      </c>
      <c r="B15" t="s">
        <v>15</v>
      </c>
      <c r="C15">
        <v>1</v>
      </c>
      <c r="D15">
        <v>11</v>
      </c>
      <c r="E15">
        <v>11</v>
      </c>
      <c r="F15">
        <v>1634</v>
      </c>
      <c r="G15">
        <v>123</v>
      </c>
      <c r="H15">
        <v>1571</v>
      </c>
      <c r="I15" t="s">
        <v>40</v>
      </c>
    </row>
    <row r="16" spans="1:9" x14ac:dyDescent="0.2">
      <c r="A16" t="s">
        <v>42</v>
      </c>
      <c r="B16" t="s">
        <v>40</v>
      </c>
      <c r="C16">
        <v>6</v>
      </c>
      <c r="D16">
        <v>10</v>
      </c>
      <c r="E16">
        <v>60</v>
      </c>
      <c r="F16">
        <v>1733</v>
      </c>
      <c r="G16">
        <v>123</v>
      </c>
      <c r="H16">
        <v>1571</v>
      </c>
      <c r="I16" t="s">
        <v>40</v>
      </c>
    </row>
    <row r="17" spans="1:9" x14ac:dyDescent="0.2">
      <c r="A17" t="s">
        <v>42</v>
      </c>
      <c r="B17" t="s">
        <v>72</v>
      </c>
      <c r="C17">
        <v>9</v>
      </c>
      <c r="D17">
        <v>9</v>
      </c>
      <c r="E17">
        <v>81</v>
      </c>
      <c r="F17">
        <v>1712</v>
      </c>
      <c r="G17">
        <v>123</v>
      </c>
      <c r="H17">
        <v>1571</v>
      </c>
      <c r="I17" t="s">
        <v>40</v>
      </c>
    </row>
    <row r="18" spans="1:9" x14ac:dyDescent="0.2">
      <c r="A18" t="s">
        <v>42</v>
      </c>
      <c r="B18" t="s">
        <v>34</v>
      </c>
      <c r="C18">
        <v>1</v>
      </c>
      <c r="D18">
        <v>8</v>
      </c>
      <c r="E18">
        <v>8</v>
      </c>
      <c r="F18">
        <v>1619</v>
      </c>
      <c r="G18">
        <v>123</v>
      </c>
      <c r="H18">
        <v>1571</v>
      </c>
      <c r="I18" t="s">
        <v>40</v>
      </c>
    </row>
    <row r="19" spans="1:9" x14ac:dyDescent="0.2">
      <c r="A19" t="s">
        <v>42</v>
      </c>
      <c r="B19" t="s">
        <v>9</v>
      </c>
      <c r="C19">
        <v>10</v>
      </c>
      <c r="D19">
        <v>7</v>
      </c>
      <c r="E19">
        <v>70</v>
      </c>
      <c r="F19">
        <v>1718</v>
      </c>
      <c r="G19">
        <v>123</v>
      </c>
      <c r="H19">
        <v>1571</v>
      </c>
      <c r="I19" t="s">
        <v>40</v>
      </c>
    </row>
    <row r="20" spans="1:9" x14ac:dyDescent="0.2">
      <c r="A20" t="s">
        <v>42</v>
      </c>
      <c r="B20" t="s">
        <v>52</v>
      </c>
      <c r="C20">
        <v>9</v>
      </c>
      <c r="D20">
        <v>6</v>
      </c>
      <c r="E20">
        <v>54</v>
      </c>
      <c r="F20">
        <v>1601</v>
      </c>
      <c r="G20">
        <v>123</v>
      </c>
      <c r="H20">
        <v>1571</v>
      </c>
      <c r="I20" t="s">
        <v>40</v>
      </c>
    </row>
    <row r="21" spans="1:9" x14ac:dyDescent="0.2">
      <c r="A21" t="s">
        <v>42</v>
      </c>
      <c r="B21" t="s">
        <v>21</v>
      </c>
      <c r="C21">
        <v>5</v>
      </c>
      <c r="D21">
        <v>5</v>
      </c>
      <c r="E21">
        <v>25</v>
      </c>
      <c r="F21">
        <v>1508</v>
      </c>
      <c r="G21">
        <v>123</v>
      </c>
      <c r="H21">
        <v>1571</v>
      </c>
      <c r="I21" t="s">
        <v>40</v>
      </c>
    </row>
    <row r="22" spans="1:9" x14ac:dyDescent="0.2">
      <c r="A22" t="s">
        <v>42</v>
      </c>
      <c r="B22" t="s">
        <v>29</v>
      </c>
      <c r="C22">
        <v>3</v>
      </c>
      <c r="D22">
        <v>4</v>
      </c>
      <c r="E22">
        <v>12</v>
      </c>
      <c r="F22">
        <v>1511</v>
      </c>
      <c r="G22">
        <v>123</v>
      </c>
      <c r="H22">
        <v>1571</v>
      </c>
      <c r="I22" t="s">
        <v>40</v>
      </c>
    </row>
    <row r="23" spans="1:9" x14ac:dyDescent="0.2">
      <c r="A23" t="s">
        <v>42</v>
      </c>
      <c r="B23" t="s">
        <v>37</v>
      </c>
      <c r="C23">
        <v>8</v>
      </c>
      <c r="D23">
        <v>3</v>
      </c>
      <c r="E23">
        <v>24</v>
      </c>
      <c r="F23">
        <v>1562</v>
      </c>
      <c r="G23">
        <v>123</v>
      </c>
      <c r="H23">
        <v>1571</v>
      </c>
      <c r="I23" t="s">
        <v>40</v>
      </c>
    </row>
    <row r="24" spans="1:9" x14ac:dyDescent="0.2">
      <c r="A24" t="s">
        <v>42</v>
      </c>
      <c r="B24" t="s">
        <v>23</v>
      </c>
      <c r="C24">
        <v>3</v>
      </c>
      <c r="D24">
        <v>2</v>
      </c>
      <c r="E24">
        <v>6</v>
      </c>
      <c r="F24">
        <v>1493</v>
      </c>
      <c r="G24">
        <v>123</v>
      </c>
      <c r="H24">
        <v>1571</v>
      </c>
      <c r="I24" t="s">
        <v>40</v>
      </c>
    </row>
    <row r="25" spans="1:9" x14ac:dyDescent="0.2">
      <c r="A25" t="s">
        <v>42</v>
      </c>
      <c r="B25" t="s">
        <v>26</v>
      </c>
      <c r="C25">
        <v>4</v>
      </c>
      <c r="D25">
        <v>1</v>
      </c>
      <c r="E25">
        <v>4</v>
      </c>
      <c r="F25">
        <v>1544</v>
      </c>
      <c r="G25">
        <v>123</v>
      </c>
      <c r="H25">
        <v>1571</v>
      </c>
      <c r="I25" t="s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6"/>
  <sheetViews>
    <sheetView topLeftCell="G1" workbookViewId="0">
      <selection activeCell="N27" sqref="N27"/>
    </sheetView>
  </sheetViews>
  <sheetFormatPr baseColWidth="10" defaultColWidth="8.83203125" defaultRowHeight="15" x14ac:dyDescent="0.2"/>
  <sheetData>
    <row r="1" spans="1:16" ht="16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  <c r="K1" s="2" t="s">
        <v>75</v>
      </c>
      <c r="L1" s="1" t="s">
        <v>61</v>
      </c>
      <c r="M1" s="3" t="s">
        <v>77</v>
      </c>
      <c r="N1" s="3" t="s">
        <v>78</v>
      </c>
      <c r="O1" s="13" t="s">
        <v>2</v>
      </c>
      <c r="P1" s="4" t="s">
        <v>79</v>
      </c>
    </row>
    <row r="2" spans="1:16" ht="16" x14ac:dyDescent="0.2">
      <c r="A2" t="s">
        <v>44</v>
      </c>
      <c r="B2" t="s">
        <v>18</v>
      </c>
      <c r="C2">
        <v>20</v>
      </c>
      <c r="D2">
        <v>24</v>
      </c>
      <c r="E2">
        <v>480</v>
      </c>
      <c r="F2">
        <v>2011</v>
      </c>
      <c r="G2">
        <v>134</v>
      </c>
      <c r="H2">
        <v>2011</v>
      </c>
      <c r="I2" t="s">
        <v>45</v>
      </c>
      <c r="K2" s="5" t="s">
        <v>80</v>
      </c>
      <c r="L2">
        <v>20</v>
      </c>
      <c r="M2" s="6">
        <v>24</v>
      </c>
      <c r="N2" s="6">
        <f>L2*M2</f>
        <v>480</v>
      </c>
      <c r="O2" s="14">
        <v>43</v>
      </c>
      <c r="P2" s="7">
        <f>P3-L26+L2*24</f>
        <v>2783</v>
      </c>
    </row>
    <row r="3" spans="1:16" ht="16" x14ac:dyDescent="0.2">
      <c r="A3" t="s">
        <v>44</v>
      </c>
      <c r="B3" t="s">
        <v>66</v>
      </c>
      <c r="C3">
        <v>2</v>
      </c>
      <c r="D3">
        <v>23</v>
      </c>
      <c r="E3">
        <v>46</v>
      </c>
      <c r="F3">
        <v>1665</v>
      </c>
      <c r="G3">
        <v>134</v>
      </c>
      <c r="H3">
        <v>2011</v>
      </c>
      <c r="I3" t="s">
        <v>45</v>
      </c>
      <c r="K3" s="8" t="s">
        <v>81</v>
      </c>
      <c r="L3">
        <v>2</v>
      </c>
      <c r="M3" s="6">
        <v>23</v>
      </c>
      <c r="N3" s="6">
        <f t="shared" ref="N3:N25" si="0">L3*M3</f>
        <v>46</v>
      </c>
      <c r="O3" s="14">
        <v>43</v>
      </c>
      <c r="P3" s="7">
        <f>P4-L26+L3*24</f>
        <v>2402</v>
      </c>
    </row>
    <row r="4" spans="1:16" ht="16" x14ac:dyDescent="0.2">
      <c r="A4" t="s">
        <v>44</v>
      </c>
      <c r="B4" t="s">
        <v>41</v>
      </c>
      <c r="C4">
        <v>8</v>
      </c>
      <c r="D4">
        <v>22</v>
      </c>
      <c r="E4">
        <v>176</v>
      </c>
      <c r="F4">
        <v>1751</v>
      </c>
      <c r="G4">
        <v>134</v>
      </c>
      <c r="H4">
        <v>2011</v>
      </c>
      <c r="I4" t="s">
        <v>45</v>
      </c>
      <c r="K4" s="5" t="s">
        <v>82</v>
      </c>
      <c r="L4">
        <v>8</v>
      </c>
      <c r="M4" s="6">
        <v>22</v>
      </c>
      <c r="N4" s="6">
        <f t="shared" si="0"/>
        <v>176</v>
      </c>
      <c r="O4" s="14">
        <v>43</v>
      </c>
      <c r="P4" s="7">
        <f>P5-L26+L4*24</f>
        <v>2453</v>
      </c>
    </row>
    <row r="5" spans="1:16" ht="16" x14ac:dyDescent="0.2">
      <c r="A5" t="s">
        <v>44</v>
      </c>
      <c r="B5" t="s">
        <v>12</v>
      </c>
      <c r="C5">
        <v>3</v>
      </c>
      <c r="D5">
        <v>21</v>
      </c>
      <c r="E5">
        <v>63</v>
      </c>
      <c r="F5">
        <v>1693</v>
      </c>
      <c r="G5">
        <v>134</v>
      </c>
      <c r="H5">
        <v>2011</v>
      </c>
      <c r="I5" t="s">
        <v>45</v>
      </c>
      <c r="K5" s="5" t="s">
        <v>83</v>
      </c>
      <c r="L5">
        <v>3</v>
      </c>
      <c r="M5" s="6">
        <v>21</v>
      </c>
      <c r="N5" s="6">
        <f t="shared" si="0"/>
        <v>63</v>
      </c>
      <c r="O5" s="14">
        <v>43</v>
      </c>
      <c r="P5" s="7">
        <f>P6-L26+L5*24</f>
        <v>2360</v>
      </c>
    </row>
    <row r="6" spans="1:16" ht="16" x14ac:dyDescent="0.2">
      <c r="A6" t="s">
        <v>44</v>
      </c>
      <c r="B6" t="s">
        <v>67</v>
      </c>
      <c r="C6">
        <v>17</v>
      </c>
      <c r="D6">
        <v>20</v>
      </c>
      <c r="E6">
        <v>340</v>
      </c>
      <c r="F6">
        <v>1755</v>
      </c>
      <c r="G6">
        <v>134</v>
      </c>
      <c r="H6">
        <v>2011</v>
      </c>
      <c r="I6" t="s">
        <v>45</v>
      </c>
      <c r="K6" s="5" t="s">
        <v>84</v>
      </c>
      <c r="L6">
        <v>17</v>
      </c>
      <c r="M6" s="6">
        <v>20</v>
      </c>
      <c r="N6" s="6">
        <f t="shared" si="0"/>
        <v>340</v>
      </c>
      <c r="O6" s="14">
        <v>43</v>
      </c>
      <c r="P6" s="7">
        <f>P7-L26+L6*24</f>
        <v>2387</v>
      </c>
    </row>
    <row r="7" spans="1:16" ht="16" x14ac:dyDescent="0.2">
      <c r="A7" t="s">
        <v>44</v>
      </c>
      <c r="B7" t="s">
        <v>68</v>
      </c>
      <c r="C7">
        <v>2</v>
      </c>
      <c r="D7">
        <v>19</v>
      </c>
      <c r="E7">
        <v>38</v>
      </c>
      <c r="F7">
        <v>1481</v>
      </c>
      <c r="G7">
        <v>134</v>
      </c>
      <c r="H7">
        <v>2011</v>
      </c>
      <c r="I7" t="s">
        <v>45</v>
      </c>
      <c r="K7" s="5" t="s">
        <v>85</v>
      </c>
      <c r="L7">
        <v>2</v>
      </c>
      <c r="M7" s="6">
        <v>19</v>
      </c>
      <c r="N7" s="6">
        <f t="shared" si="0"/>
        <v>38</v>
      </c>
      <c r="O7" s="14">
        <v>43</v>
      </c>
      <c r="P7" s="7">
        <f>P8-L26+L7*24</f>
        <v>2078</v>
      </c>
    </row>
    <row r="8" spans="1:16" ht="16" x14ac:dyDescent="0.2">
      <c r="A8" t="s">
        <v>44</v>
      </c>
      <c r="B8" t="s">
        <v>69</v>
      </c>
      <c r="C8">
        <v>1</v>
      </c>
      <c r="D8">
        <v>18</v>
      </c>
      <c r="E8">
        <v>18</v>
      </c>
      <c r="F8">
        <v>1567</v>
      </c>
      <c r="G8">
        <v>134</v>
      </c>
      <c r="H8">
        <v>2011</v>
      </c>
      <c r="I8" t="s">
        <v>45</v>
      </c>
      <c r="K8" s="5" t="s">
        <v>86</v>
      </c>
      <c r="L8">
        <v>1</v>
      </c>
      <c r="M8" s="6">
        <v>18</v>
      </c>
      <c r="N8" s="6">
        <f t="shared" si="0"/>
        <v>18</v>
      </c>
      <c r="O8" s="14">
        <v>43</v>
      </c>
      <c r="P8" s="7">
        <f>P9-L26+24*L8</f>
        <v>2129</v>
      </c>
    </row>
    <row r="9" spans="1:16" ht="16" x14ac:dyDescent="0.2">
      <c r="A9" t="s">
        <v>44</v>
      </c>
      <c r="B9" t="s">
        <v>70</v>
      </c>
      <c r="C9">
        <v>7</v>
      </c>
      <c r="D9">
        <v>17</v>
      </c>
      <c r="E9">
        <v>119</v>
      </c>
      <c r="F9">
        <v>1677</v>
      </c>
      <c r="G9">
        <v>134</v>
      </c>
      <c r="H9">
        <v>2011</v>
      </c>
      <c r="I9" t="s">
        <v>45</v>
      </c>
      <c r="K9" s="5" t="s">
        <v>87</v>
      </c>
      <c r="L9">
        <v>7</v>
      </c>
      <c r="M9" s="6">
        <v>17</v>
      </c>
      <c r="N9" s="6">
        <f t="shared" si="0"/>
        <v>119</v>
      </c>
      <c r="O9" s="14">
        <v>43</v>
      </c>
      <c r="P9" s="7">
        <f>P10-L26+L9*24</f>
        <v>2204</v>
      </c>
    </row>
    <row r="10" spans="1:16" ht="16" x14ac:dyDescent="0.2">
      <c r="A10" t="s">
        <v>44</v>
      </c>
      <c r="B10" t="s">
        <v>43</v>
      </c>
      <c r="C10">
        <v>6</v>
      </c>
      <c r="D10">
        <v>16</v>
      </c>
      <c r="E10">
        <v>96</v>
      </c>
      <c r="F10">
        <v>1643</v>
      </c>
      <c r="G10">
        <v>134</v>
      </c>
      <c r="H10">
        <v>2011</v>
      </c>
      <c r="I10" t="s">
        <v>45</v>
      </c>
      <c r="K10" s="5" t="s">
        <v>88</v>
      </c>
      <c r="L10">
        <v>6</v>
      </c>
      <c r="M10" s="6">
        <v>16</v>
      </c>
      <c r="N10" s="6">
        <f t="shared" si="0"/>
        <v>96</v>
      </c>
      <c r="O10" s="14">
        <v>43</v>
      </c>
      <c r="P10" s="7">
        <f>P11-L26+24*L10</f>
        <v>2135</v>
      </c>
    </row>
    <row r="11" spans="1:16" ht="16" x14ac:dyDescent="0.2">
      <c r="A11" t="s">
        <v>44</v>
      </c>
      <c r="B11" t="s">
        <v>71</v>
      </c>
      <c r="C11">
        <v>19</v>
      </c>
      <c r="D11">
        <v>15</v>
      </c>
      <c r="E11">
        <v>285</v>
      </c>
      <c r="F11">
        <v>1633</v>
      </c>
      <c r="G11">
        <v>134</v>
      </c>
      <c r="H11">
        <v>2011</v>
      </c>
      <c r="I11" t="s">
        <v>45</v>
      </c>
      <c r="K11" s="5" t="s">
        <v>89</v>
      </c>
      <c r="L11">
        <v>19</v>
      </c>
      <c r="M11" s="6">
        <v>15</v>
      </c>
      <c r="N11" s="6">
        <f t="shared" si="0"/>
        <v>285</v>
      </c>
      <c r="O11" s="14">
        <v>43</v>
      </c>
      <c r="P11" s="7">
        <f>P12-L26+L11*24</f>
        <v>2090</v>
      </c>
    </row>
    <row r="12" spans="1:16" ht="16" x14ac:dyDescent="0.2">
      <c r="A12" t="s">
        <v>44</v>
      </c>
      <c r="B12" t="s">
        <v>46</v>
      </c>
      <c r="D12">
        <v>14</v>
      </c>
      <c r="E12">
        <v>0</v>
      </c>
      <c r="F12">
        <v>1311</v>
      </c>
      <c r="G12">
        <v>134</v>
      </c>
      <c r="H12">
        <v>2011</v>
      </c>
      <c r="I12" t="s">
        <v>45</v>
      </c>
      <c r="K12" s="5" t="s">
        <v>90</v>
      </c>
      <c r="M12" s="6">
        <v>14</v>
      </c>
      <c r="N12" s="6">
        <f t="shared" si="0"/>
        <v>0</v>
      </c>
      <c r="O12" s="14">
        <v>43</v>
      </c>
      <c r="P12" s="7">
        <f>P13-L26+L12*24</f>
        <v>1733</v>
      </c>
    </row>
    <row r="13" spans="1:16" ht="16" x14ac:dyDescent="0.2">
      <c r="A13" t="s">
        <v>44</v>
      </c>
      <c r="B13" t="s">
        <v>36</v>
      </c>
      <c r="D13">
        <v>13</v>
      </c>
      <c r="E13">
        <v>26</v>
      </c>
      <c r="F13">
        <v>1445</v>
      </c>
      <c r="G13">
        <v>134</v>
      </c>
      <c r="H13">
        <v>2011</v>
      </c>
      <c r="I13" t="s">
        <v>45</v>
      </c>
      <c r="K13" s="5" t="s">
        <v>91</v>
      </c>
      <c r="M13" s="6">
        <v>13</v>
      </c>
      <c r="N13" s="6">
        <f t="shared" si="0"/>
        <v>0</v>
      </c>
      <c r="O13" s="14">
        <v>43</v>
      </c>
      <c r="P13" s="7">
        <f>P14-L26+L13*24</f>
        <v>1832</v>
      </c>
    </row>
    <row r="14" spans="1:16" ht="16" x14ac:dyDescent="0.2">
      <c r="A14" t="s">
        <v>44</v>
      </c>
      <c r="B14" t="s">
        <v>48</v>
      </c>
      <c r="D14">
        <v>12</v>
      </c>
      <c r="E14">
        <v>48</v>
      </c>
      <c r="F14">
        <v>1531</v>
      </c>
      <c r="G14">
        <v>134</v>
      </c>
      <c r="H14">
        <v>2011</v>
      </c>
      <c r="I14" t="s">
        <v>45</v>
      </c>
      <c r="K14" s="5" t="s">
        <v>92</v>
      </c>
      <c r="M14" s="6">
        <v>12</v>
      </c>
      <c r="N14" s="6">
        <f t="shared" si="0"/>
        <v>0</v>
      </c>
      <c r="O14" s="14">
        <v>43</v>
      </c>
      <c r="P14" s="7">
        <f>P15-L26+24*L14</f>
        <v>1931</v>
      </c>
    </row>
    <row r="15" spans="1:16" ht="16" x14ac:dyDescent="0.2">
      <c r="A15" t="s">
        <v>44</v>
      </c>
      <c r="B15" t="s">
        <v>15</v>
      </c>
      <c r="D15">
        <v>11</v>
      </c>
      <c r="E15">
        <v>66</v>
      </c>
      <c r="F15">
        <v>1569</v>
      </c>
      <c r="G15">
        <v>134</v>
      </c>
      <c r="H15">
        <v>2011</v>
      </c>
      <c r="I15" t="s">
        <v>45</v>
      </c>
      <c r="K15" s="5" t="s">
        <v>93</v>
      </c>
      <c r="M15" s="6">
        <v>11</v>
      </c>
      <c r="N15" s="6">
        <f t="shared" si="0"/>
        <v>0</v>
      </c>
      <c r="O15" s="14">
        <v>43</v>
      </c>
      <c r="P15" s="7">
        <f>P16-$B26+L15*24</f>
        <v>2030</v>
      </c>
    </row>
    <row r="16" spans="1:16" ht="16" x14ac:dyDescent="0.2">
      <c r="A16" t="s">
        <v>44</v>
      </c>
      <c r="B16" t="s">
        <v>40</v>
      </c>
      <c r="D16">
        <v>10</v>
      </c>
      <c r="E16">
        <v>40</v>
      </c>
      <c r="F16">
        <v>1559</v>
      </c>
      <c r="G16">
        <v>134</v>
      </c>
      <c r="H16">
        <v>2011</v>
      </c>
      <c r="I16" t="s">
        <v>45</v>
      </c>
      <c r="K16" s="5" t="s">
        <v>94</v>
      </c>
      <c r="M16" s="6">
        <v>10</v>
      </c>
      <c r="N16" s="6">
        <f t="shared" si="0"/>
        <v>0</v>
      </c>
      <c r="O16" s="14">
        <v>43</v>
      </c>
      <c r="P16" s="7">
        <f>P17-$B26+L16*24</f>
        <v>2030</v>
      </c>
    </row>
    <row r="17" spans="1:16" ht="16" x14ac:dyDescent="0.2">
      <c r="A17" t="s">
        <v>44</v>
      </c>
      <c r="B17" t="s">
        <v>72</v>
      </c>
      <c r="D17">
        <v>9</v>
      </c>
      <c r="E17">
        <v>63</v>
      </c>
      <c r="F17">
        <v>1597</v>
      </c>
      <c r="G17">
        <v>134</v>
      </c>
      <c r="H17">
        <v>2011</v>
      </c>
      <c r="I17" t="s">
        <v>45</v>
      </c>
      <c r="K17" s="5" t="s">
        <v>95</v>
      </c>
      <c r="M17" s="6">
        <v>9</v>
      </c>
      <c r="N17" s="6">
        <f t="shared" si="0"/>
        <v>0</v>
      </c>
      <c r="O17" s="14">
        <v>43</v>
      </c>
      <c r="P17" s="7">
        <f>P18-$B26+L17*24</f>
        <v>2030</v>
      </c>
    </row>
    <row r="18" spans="1:16" ht="16" x14ac:dyDescent="0.2">
      <c r="A18" t="s">
        <v>44</v>
      </c>
      <c r="B18" t="s">
        <v>34</v>
      </c>
      <c r="D18">
        <v>8</v>
      </c>
      <c r="E18">
        <v>8</v>
      </c>
      <c r="F18">
        <v>1563</v>
      </c>
      <c r="G18">
        <v>134</v>
      </c>
      <c r="H18">
        <v>2011</v>
      </c>
      <c r="I18" t="s">
        <v>45</v>
      </c>
      <c r="K18" s="5" t="s">
        <v>96</v>
      </c>
      <c r="M18" s="6">
        <v>8</v>
      </c>
      <c r="N18" s="6">
        <f t="shared" si="0"/>
        <v>0</v>
      </c>
      <c r="O18" s="14">
        <v>43</v>
      </c>
      <c r="P18" s="7">
        <f>P19-$B26+L18*24</f>
        <v>2030</v>
      </c>
    </row>
    <row r="19" spans="1:16" ht="16" x14ac:dyDescent="0.2">
      <c r="A19" t="s">
        <v>44</v>
      </c>
      <c r="B19" t="s">
        <v>9</v>
      </c>
      <c r="D19">
        <v>7</v>
      </c>
      <c r="E19">
        <v>28</v>
      </c>
      <c r="F19">
        <v>1673</v>
      </c>
      <c r="G19">
        <v>134</v>
      </c>
      <c r="H19">
        <v>2011</v>
      </c>
      <c r="I19" t="s">
        <v>45</v>
      </c>
      <c r="K19" s="5" t="s">
        <v>97</v>
      </c>
      <c r="M19" s="6">
        <v>7</v>
      </c>
      <c r="N19" s="6">
        <f t="shared" si="0"/>
        <v>0</v>
      </c>
      <c r="O19" s="14">
        <v>43</v>
      </c>
      <c r="P19" s="7">
        <f>P20-$B26+L19*24</f>
        <v>2030</v>
      </c>
    </row>
    <row r="20" spans="1:16" ht="16" x14ac:dyDescent="0.2">
      <c r="A20" t="s">
        <v>44</v>
      </c>
      <c r="B20" t="s">
        <v>52</v>
      </c>
      <c r="D20">
        <v>6</v>
      </c>
      <c r="E20">
        <v>18</v>
      </c>
      <c r="F20">
        <v>1711</v>
      </c>
      <c r="G20">
        <v>134</v>
      </c>
      <c r="H20">
        <v>2011</v>
      </c>
      <c r="I20" t="s">
        <v>45</v>
      </c>
      <c r="K20" s="5" t="s">
        <v>98</v>
      </c>
      <c r="M20" s="6">
        <v>6</v>
      </c>
      <c r="N20" s="6">
        <f t="shared" si="0"/>
        <v>0</v>
      </c>
      <c r="O20" s="14">
        <v>43</v>
      </c>
      <c r="P20" s="7">
        <f>P21-$B26+L20*24</f>
        <v>2030</v>
      </c>
    </row>
    <row r="21" spans="1:16" ht="16" x14ac:dyDescent="0.2">
      <c r="A21" t="s">
        <v>44</v>
      </c>
      <c r="B21" t="s">
        <v>21</v>
      </c>
      <c r="D21">
        <v>5</v>
      </c>
      <c r="E21">
        <v>20</v>
      </c>
      <c r="F21">
        <v>1773</v>
      </c>
      <c r="G21">
        <v>134</v>
      </c>
      <c r="H21">
        <v>2011</v>
      </c>
      <c r="I21" t="s">
        <v>45</v>
      </c>
      <c r="K21" s="5" t="s">
        <v>99</v>
      </c>
      <c r="M21" s="6">
        <v>5</v>
      </c>
      <c r="N21" s="6">
        <f t="shared" si="0"/>
        <v>0</v>
      </c>
      <c r="O21" s="14">
        <v>43</v>
      </c>
      <c r="P21" s="7">
        <f>P22-$B26+L21*24</f>
        <v>2030</v>
      </c>
    </row>
    <row r="22" spans="1:16" ht="16" x14ac:dyDescent="0.2">
      <c r="A22" t="s">
        <v>44</v>
      </c>
      <c r="B22" t="s">
        <v>29</v>
      </c>
      <c r="C22">
        <v>5</v>
      </c>
      <c r="D22">
        <v>4</v>
      </c>
      <c r="E22">
        <v>20</v>
      </c>
      <c r="F22">
        <v>1811</v>
      </c>
      <c r="G22">
        <v>134</v>
      </c>
      <c r="H22">
        <v>2011</v>
      </c>
      <c r="I22" t="s">
        <v>45</v>
      </c>
      <c r="K22" s="5" t="s">
        <v>100</v>
      </c>
      <c r="L22">
        <v>5</v>
      </c>
      <c r="M22" s="6">
        <v>4</v>
      </c>
      <c r="N22" s="6">
        <f t="shared" si="0"/>
        <v>20</v>
      </c>
      <c r="O22" s="14">
        <v>43</v>
      </c>
      <c r="P22" s="7">
        <f>P23-$B26+L22*24</f>
        <v>2030</v>
      </c>
    </row>
    <row r="23" spans="1:16" ht="16" x14ac:dyDescent="0.2">
      <c r="A23" t="s">
        <v>44</v>
      </c>
      <c r="B23" t="s">
        <v>37</v>
      </c>
      <c r="D23">
        <v>3</v>
      </c>
      <c r="E23">
        <v>0</v>
      </c>
      <c r="F23">
        <v>1825</v>
      </c>
      <c r="G23">
        <v>134</v>
      </c>
      <c r="H23">
        <v>2011</v>
      </c>
      <c r="I23" t="s">
        <v>45</v>
      </c>
      <c r="K23" s="5" t="s">
        <v>101</v>
      </c>
      <c r="M23" s="6">
        <v>3</v>
      </c>
      <c r="N23" s="6">
        <f t="shared" si="0"/>
        <v>0</v>
      </c>
      <c r="O23" s="14">
        <v>43</v>
      </c>
      <c r="P23" s="7">
        <f>P24-$B26+24*L23</f>
        <v>1910</v>
      </c>
    </row>
    <row r="24" spans="1:16" ht="16" x14ac:dyDescent="0.2">
      <c r="A24" t="s">
        <v>44</v>
      </c>
      <c r="B24" t="s">
        <v>23</v>
      </c>
      <c r="C24">
        <v>4</v>
      </c>
      <c r="D24">
        <v>2</v>
      </c>
      <c r="E24">
        <v>8</v>
      </c>
      <c r="F24">
        <v>1959</v>
      </c>
      <c r="G24">
        <v>134</v>
      </c>
      <c r="H24">
        <v>2011</v>
      </c>
      <c r="I24" t="s">
        <v>45</v>
      </c>
      <c r="K24" s="5" t="s">
        <v>102</v>
      </c>
      <c r="L24">
        <v>4</v>
      </c>
      <c r="M24" s="6">
        <v>2</v>
      </c>
      <c r="N24" s="6">
        <f t="shared" si="0"/>
        <v>8</v>
      </c>
      <c r="O24" s="14">
        <v>43</v>
      </c>
      <c r="P24" s="7">
        <f>P25-$B26+L24*24</f>
        <v>1910</v>
      </c>
    </row>
    <row r="25" spans="1:16" ht="16" x14ac:dyDescent="0.2">
      <c r="A25" t="s">
        <v>44</v>
      </c>
      <c r="B25" t="s">
        <v>26</v>
      </c>
      <c r="C25">
        <v>5</v>
      </c>
      <c r="D25">
        <v>1</v>
      </c>
      <c r="E25">
        <v>5</v>
      </c>
      <c r="F25">
        <v>1997</v>
      </c>
      <c r="G25">
        <v>134</v>
      </c>
      <c r="H25">
        <v>2011</v>
      </c>
      <c r="I25" t="s">
        <v>45</v>
      </c>
      <c r="K25" s="5" t="s">
        <v>103</v>
      </c>
      <c r="L25">
        <v>5</v>
      </c>
      <c r="M25" s="6">
        <v>1</v>
      </c>
      <c r="N25" s="6">
        <f t="shared" si="0"/>
        <v>5</v>
      </c>
      <c r="O25" s="14">
        <v>43</v>
      </c>
      <c r="P25" s="9">
        <f>P26-M25*$B26+24*L25</f>
        <v>1814</v>
      </c>
    </row>
    <row r="26" spans="1:16" ht="17" thickBot="1" x14ac:dyDescent="0.25">
      <c r="K26" s="10" t="s">
        <v>80</v>
      </c>
      <c r="L26">
        <f>SUM(L2:L25)</f>
        <v>99</v>
      </c>
      <c r="M26" s="11"/>
      <c r="N26" s="11">
        <f>SUM(N2:N25)</f>
        <v>1694</v>
      </c>
      <c r="O26" s="14">
        <v>43</v>
      </c>
      <c r="P26" s="12">
        <f>N26</f>
        <v>1694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47</v>
      </c>
      <c r="B2" t="s">
        <v>18</v>
      </c>
      <c r="C2">
        <v>6</v>
      </c>
      <c r="D2">
        <v>24</v>
      </c>
      <c r="E2">
        <v>144</v>
      </c>
      <c r="F2">
        <v>812</v>
      </c>
      <c r="G2">
        <v>57</v>
      </c>
      <c r="H2">
        <v>812</v>
      </c>
      <c r="I2" t="s">
        <v>34</v>
      </c>
    </row>
    <row r="3" spans="1:9" x14ac:dyDescent="0.2">
      <c r="A3" t="s">
        <v>47</v>
      </c>
      <c r="B3" t="s">
        <v>66</v>
      </c>
      <c r="C3">
        <v>2</v>
      </c>
      <c r="D3">
        <v>23</v>
      </c>
      <c r="E3">
        <v>46</v>
      </c>
      <c r="F3">
        <v>725</v>
      </c>
      <c r="G3">
        <v>57</v>
      </c>
      <c r="H3">
        <v>812</v>
      </c>
      <c r="I3" t="s">
        <v>34</v>
      </c>
    </row>
    <row r="4" spans="1:9" x14ac:dyDescent="0.2">
      <c r="A4" t="s">
        <v>47</v>
      </c>
      <c r="B4" t="s">
        <v>41</v>
      </c>
      <c r="C4">
        <v>1</v>
      </c>
      <c r="D4">
        <v>22</v>
      </c>
      <c r="E4">
        <v>22</v>
      </c>
      <c r="F4">
        <v>734</v>
      </c>
      <c r="G4">
        <v>57</v>
      </c>
      <c r="H4">
        <v>812</v>
      </c>
      <c r="I4" t="s">
        <v>34</v>
      </c>
    </row>
    <row r="5" spans="1:9" x14ac:dyDescent="0.2">
      <c r="A5" t="s">
        <v>47</v>
      </c>
      <c r="B5" t="s">
        <v>12</v>
      </c>
      <c r="C5">
        <v>4</v>
      </c>
      <c r="D5">
        <v>21</v>
      </c>
      <c r="E5">
        <v>84</v>
      </c>
      <c r="F5">
        <v>767</v>
      </c>
      <c r="G5">
        <v>57</v>
      </c>
      <c r="H5">
        <v>812</v>
      </c>
      <c r="I5" t="s">
        <v>34</v>
      </c>
    </row>
    <row r="6" spans="1:9" x14ac:dyDescent="0.2">
      <c r="A6" t="s">
        <v>47</v>
      </c>
      <c r="B6" t="s">
        <v>67</v>
      </c>
      <c r="C6">
        <v>0</v>
      </c>
      <c r="D6">
        <v>20</v>
      </c>
      <c r="E6">
        <v>0</v>
      </c>
      <c r="F6">
        <v>728</v>
      </c>
      <c r="G6">
        <v>57</v>
      </c>
      <c r="H6">
        <v>812</v>
      </c>
      <c r="I6" t="s">
        <v>34</v>
      </c>
    </row>
    <row r="7" spans="1:9" x14ac:dyDescent="0.2">
      <c r="A7" t="s">
        <v>47</v>
      </c>
      <c r="B7" t="s">
        <v>68</v>
      </c>
      <c r="C7">
        <v>3</v>
      </c>
      <c r="D7">
        <v>19</v>
      </c>
      <c r="E7">
        <v>57</v>
      </c>
      <c r="F7">
        <v>785</v>
      </c>
      <c r="G7">
        <v>57</v>
      </c>
      <c r="H7">
        <v>812</v>
      </c>
      <c r="I7" t="s">
        <v>34</v>
      </c>
    </row>
    <row r="8" spans="1:9" x14ac:dyDescent="0.2">
      <c r="A8" t="s">
        <v>47</v>
      </c>
      <c r="B8" t="s">
        <v>69</v>
      </c>
      <c r="C8">
        <v>2</v>
      </c>
      <c r="D8">
        <v>18</v>
      </c>
      <c r="E8">
        <v>36</v>
      </c>
      <c r="F8">
        <v>770</v>
      </c>
      <c r="G8">
        <v>57</v>
      </c>
      <c r="H8">
        <v>812</v>
      </c>
      <c r="I8" t="s">
        <v>34</v>
      </c>
    </row>
    <row r="9" spans="1:9" x14ac:dyDescent="0.2">
      <c r="A9" t="s">
        <v>47</v>
      </c>
      <c r="B9" t="s">
        <v>70</v>
      </c>
      <c r="C9">
        <v>5</v>
      </c>
      <c r="D9">
        <v>17</v>
      </c>
      <c r="E9">
        <v>85</v>
      </c>
      <c r="F9">
        <v>779</v>
      </c>
      <c r="G9">
        <v>57</v>
      </c>
      <c r="H9">
        <v>812</v>
      </c>
      <c r="I9" t="s">
        <v>34</v>
      </c>
    </row>
    <row r="10" spans="1:9" x14ac:dyDescent="0.2">
      <c r="A10" t="s">
        <v>47</v>
      </c>
      <c r="B10" t="s">
        <v>43</v>
      </c>
      <c r="C10">
        <v>0</v>
      </c>
      <c r="D10">
        <v>16</v>
      </c>
      <c r="E10">
        <v>0</v>
      </c>
      <c r="F10">
        <v>716</v>
      </c>
      <c r="G10">
        <v>57</v>
      </c>
      <c r="H10">
        <v>812</v>
      </c>
      <c r="I10" t="s">
        <v>34</v>
      </c>
    </row>
    <row r="11" spans="1:9" x14ac:dyDescent="0.2">
      <c r="A11" t="s">
        <v>47</v>
      </c>
      <c r="B11" t="s">
        <v>71</v>
      </c>
      <c r="C11">
        <v>4</v>
      </c>
      <c r="D11">
        <v>15</v>
      </c>
      <c r="E11">
        <v>60</v>
      </c>
      <c r="F11">
        <v>773</v>
      </c>
      <c r="G11">
        <v>57</v>
      </c>
      <c r="H11">
        <v>812</v>
      </c>
      <c r="I11" t="s">
        <v>34</v>
      </c>
    </row>
    <row r="12" spans="1:9" x14ac:dyDescent="0.2">
      <c r="A12" t="s">
        <v>47</v>
      </c>
      <c r="B12" t="s">
        <v>46</v>
      </c>
      <c r="C12">
        <v>9</v>
      </c>
      <c r="D12">
        <v>14</v>
      </c>
      <c r="E12">
        <v>126</v>
      </c>
      <c r="F12">
        <v>734</v>
      </c>
      <c r="G12">
        <v>57</v>
      </c>
      <c r="H12">
        <v>812</v>
      </c>
      <c r="I12" t="s">
        <v>34</v>
      </c>
    </row>
    <row r="13" spans="1:9" x14ac:dyDescent="0.2">
      <c r="A13" t="s">
        <v>47</v>
      </c>
      <c r="B13" t="s">
        <v>36</v>
      </c>
      <c r="C13">
        <v>3</v>
      </c>
      <c r="D13">
        <v>13</v>
      </c>
      <c r="E13">
        <v>39</v>
      </c>
      <c r="F13">
        <v>575</v>
      </c>
      <c r="G13">
        <v>57</v>
      </c>
      <c r="H13">
        <v>812</v>
      </c>
      <c r="I13" t="s">
        <v>34</v>
      </c>
    </row>
    <row r="14" spans="1:9" x14ac:dyDescent="0.2">
      <c r="A14" t="s">
        <v>47</v>
      </c>
      <c r="B14" t="s">
        <v>48</v>
      </c>
      <c r="C14">
        <v>0</v>
      </c>
      <c r="D14">
        <v>12</v>
      </c>
      <c r="E14">
        <v>0</v>
      </c>
      <c r="F14">
        <v>560</v>
      </c>
      <c r="G14">
        <v>57</v>
      </c>
      <c r="H14">
        <v>812</v>
      </c>
      <c r="I14" t="s">
        <v>34</v>
      </c>
    </row>
    <row r="15" spans="1:9" x14ac:dyDescent="0.2">
      <c r="A15" t="s">
        <v>47</v>
      </c>
      <c r="B15" t="s">
        <v>15</v>
      </c>
      <c r="C15">
        <v>2</v>
      </c>
      <c r="D15">
        <v>11</v>
      </c>
      <c r="E15">
        <v>22</v>
      </c>
      <c r="F15">
        <v>617</v>
      </c>
      <c r="G15">
        <v>57</v>
      </c>
      <c r="H15">
        <v>812</v>
      </c>
      <c r="I15" t="s">
        <v>34</v>
      </c>
    </row>
    <row r="16" spans="1:9" x14ac:dyDescent="0.2">
      <c r="A16" t="s">
        <v>47</v>
      </c>
      <c r="B16" t="s">
        <v>40</v>
      </c>
      <c r="C16">
        <v>2</v>
      </c>
      <c r="D16">
        <v>10</v>
      </c>
      <c r="E16">
        <v>20</v>
      </c>
      <c r="F16">
        <v>626</v>
      </c>
      <c r="G16">
        <v>57</v>
      </c>
      <c r="H16">
        <v>812</v>
      </c>
      <c r="I16" t="s">
        <v>34</v>
      </c>
    </row>
    <row r="17" spans="1:9" x14ac:dyDescent="0.2">
      <c r="A17" t="s">
        <v>47</v>
      </c>
      <c r="B17" t="s">
        <v>72</v>
      </c>
      <c r="C17">
        <v>1</v>
      </c>
      <c r="D17">
        <v>9</v>
      </c>
      <c r="E17">
        <v>9</v>
      </c>
      <c r="F17">
        <v>635</v>
      </c>
      <c r="G17">
        <v>57</v>
      </c>
      <c r="H17">
        <v>812</v>
      </c>
      <c r="I17" t="s">
        <v>34</v>
      </c>
    </row>
    <row r="18" spans="1:9" x14ac:dyDescent="0.2">
      <c r="A18" t="s">
        <v>47</v>
      </c>
      <c r="B18" t="s">
        <v>34</v>
      </c>
      <c r="C18">
        <v>0</v>
      </c>
      <c r="D18">
        <v>8</v>
      </c>
      <c r="E18">
        <v>0</v>
      </c>
      <c r="F18">
        <v>668</v>
      </c>
      <c r="G18">
        <v>57</v>
      </c>
      <c r="H18">
        <v>812</v>
      </c>
      <c r="I18" t="s">
        <v>34</v>
      </c>
    </row>
    <row r="19" spans="1:9" x14ac:dyDescent="0.2">
      <c r="A19" t="s">
        <v>47</v>
      </c>
      <c r="B19" t="s">
        <v>9</v>
      </c>
      <c r="C19">
        <v>4</v>
      </c>
      <c r="D19">
        <v>7</v>
      </c>
      <c r="E19">
        <v>28</v>
      </c>
      <c r="F19">
        <v>725</v>
      </c>
      <c r="G19">
        <v>57</v>
      </c>
      <c r="H19">
        <v>812</v>
      </c>
      <c r="I19" t="s">
        <v>34</v>
      </c>
    </row>
    <row r="20" spans="1:9" x14ac:dyDescent="0.2">
      <c r="A20" t="s">
        <v>47</v>
      </c>
      <c r="B20" t="s">
        <v>52</v>
      </c>
      <c r="C20">
        <v>1</v>
      </c>
      <c r="D20">
        <v>6</v>
      </c>
      <c r="E20">
        <v>6</v>
      </c>
      <c r="F20">
        <v>686</v>
      </c>
      <c r="G20">
        <v>57</v>
      </c>
      <c r="H20">
        <v>812</v>
      </c>
      <c r="I20" t="s">
        <v>34</v>
      </c>
    </row>
    <row r="21" spans="1:9" x14ac:dyDescent="0.2">
      <c r="A21" t="s">
        <v>47</v>
      </c>
      <c r="B21" t="s">
        <v>21</v>
      </c>
      <c r="C21">
        <v>2</v>
      </c>
      <c r="D21">
        <v>5</v>
      </c>
      <c r="E21">
        <v>10</v>
      </c>
      <c r="F21">
        <v>719</v>
      </c>
      <c r="G21">
        <v>57</v>
      </c>
      <c r="H21">
        <v>812</v>
      </c>
      <c r="I21" t="s">
        <v>34</v>
      </c>
    </row>
    <row r="22" spans="1:9" x14ac:dyDescent="0.2">
      <c r="A22" t="s">
        <v>47</v>
      </c>
      <c r="B22" t="s">
        <v>29</v>
      </c>
      <c r="C22">
        <v>3</v>
      </c>
      <c r="D22">
        <v>4</v>
      </c>
      <c r="E22">
        <v>12</v>
      </c>
      <c r="F22">
        <v>728</v>
      </c>
      <c r="G22">
        <v>57</v>
      </c>
      <c r="H22">
        <v>812</v>
      </c>
      <c r="I22" t="s">
        <v>34</v>
      </c>
    </row>
    <row r="23" spans="1:9" x14ac:dyDescent="0.2">
      <c r="A23" t="s">
        <v>47</v>
      </c>
      <c r="B23" t="s">
        <v>37</v>
      </c>
      <c r="C23">
        <v>0</v>
      </c>
      <c r="D23">
        <v>3</v>
      </c>
      <c r="E23">
        <v>0</v>
      </c>
      <c r="F23">
        <v>713</v>
      </c>
      <c r="G23">
        <v>57</v>
      </c>
      <c r="H23">
        <v>812</v>
      </c>
      <c r="I23" t="s">
        <v>34</v>
      </c>
    </row>
    <row r="24" spans="1:9" x14ac:dyDescent="0.2">
      <c r="A24" t="s">
        <v>47</v>
      </c>
      <c r="B24" t="s">
        <v>23</v>
      </c>
      <c r="C24">
        <v>3</v>
      </c>
      <c r="D24">
        <v>2</v>
      </c>
      <c r="E24">
        <v>6</v>
      </c>
      <c r="F24">
        <v>770</v>
      </c>
      <c r="G24">
        <v>57</v>
      </c>
      <c r="H24">
        <v>812</v>
      </c>
      <c r="I24" t="s">
        <v>34</v>
      </c>
    </row>
    <row r="25" spans="1:9" x14ac:dyDescent="0.2">
      <c r="A25" t="s">
        <v>47</v>
      </c>
      <c r="B25" t="s">
        <v>26</v>
      </c>
      <c r="C25">
        <v>0</v>
      </c>
      <c r="D25">
        <v>1</v>
      </c>
      <c r="E25">
        <v>0</v>
      </c>
      <c r="F25">
        <v>755</v>
      </c>
      <c r="G25">
        <v>57</v>
      </c>
      <c r="H25">
        <v>812</v>
      </c>
      <c r="I25" t="s">
        <v>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49</v>
      </c>
      <c r="B2" t="s">
        <v>18</v>
      </c>
      <c r="C2">
        <v>11</v>
      </c>
      <c r="D2">
        <v>24</v>
      </c>
      <c r="E2">
        <v>264</v>
      </c>
      <c r="F2">
        <v>1166</v>
      </c>
      <c r="G2">
        <v>83</v>
      </c>
      <c r="H2">
        <v>1166</v>
      </c>
      <c r="I2" t="s">
        <v>34</v>
      </c>
    </row>
    <row r="3" spans="1:9" x14ac:dyDescent="0.2">
      <c r="A3" t="s">
        <v>49</v>
      </c>
      <c r="B3" t="s">
        <v>66</v>
      </c>
      <c r="C3">
        <v>1</v>
      </c>
      <c r="D3">
        <v>23</v>
      </c>
      <c r="E3">
        <v>23</v>
      </c>
      <c r="F3">
        <v>985</v>
      </c>
      <c r="G3">
        <v>83</v>
      </c>
      <c r="H3">
        <v>1166</v>
      </c>
      <c r="I3" t="s">
        <v>34</v>
      </c>
    </row>
    <row r="4" spans="1:9" x14ac:dyDescent="0.2">
      <c r="A4" t="s">
        <v>49</v>
      </c>
      <c r="B4" t="s">
        <v>41</v>
      </c>
      <c r="C4">
        <v>6</v>
      </c>
      <c r="D4">
        <v>22</v>
      </c>
      <c r="E4">
        <v>132</v>
      </c>
      <c r="F4">
        <v>1044</v>
      </c>
      <c r="G4">
        <v>83</v>
      </c>
      <c r="H4">
        <v>1166</v>
      </c>
      <c r="I4" t="s">
        <v>34</v>
      </c>
    </row>
    <row r="5" spans="1:9" x14ac:dyDescent="0.2">
      <c r="A5" t="s">
        <v>49</v>
      </c>
      <c r="B5" t="s">
        <v>12</v>
      </c>
      <c r="C5">
        <v>3</v>
      </c>
      <c r="D5">
        <v>21</v>
      </c>
      <c r="E5">
        <v>63</v>
      </c>
      <c r="F5">
        <v>983</v>
      </c>
      <c r="G5">
        <v>83</v>
      </c>
      <c r="H5">
        <v>1166</v>
      </c>
      <c r="I5" t="s">
        <v>34</v>
      </c>
    </row>
    <row r="6" spans="1:9" x14ac:dyDescent="0.2">
      <c r="A6" t="s">
        <v>49</v>
      </c>
      <c r="B6" t="s">
        <v>67</v>
      </c>
      <c r="C6">
        <v>1</v>
      </c>
      <c r="D6">
        <v>20</v>
      </c>
      <c r="E6">
        <v>20</v>
      </c>
      <c r="F6">
        <v>994</v>
      </c>
      <c r="G6">
        <v>83</v>
      </c>
      <c r="H6">
        <v>1166</v>
      </c>
      <c r="I6" t="s">
        <v>34</v>
      </c>
    </row>
    <row r="7" spans="1:9" x14ac:dyDescent="0.2">
      <c r="A7" t="s">
        <v>49</v>
      </c>
      <c r="B7" t="s">
        <v>68</v>
      </c>
      <c r="C7">
        <v>3</v>
      </c>
      <c r="D7">
        <v>19</v>
      </c>
      <c r="E7">
        <v>57</v>
      </c>
      <c r="F7">
        <v>1053</v>
      </c>
      <c r="G7">
        <v>83</v>
      </c>
      <c r="H7">
        <v>1166</v>
      </c>
      <c r="I7" t="s">
        <v>34</v>
      </c>
    </row>
    <row r="8" spans="1:9" x14ac:dyDescent="0.2">
      <c r="A8" t="s">
        <v>49</v>
      </c>
      <c r="B8" t="s">
        <v>69</v>
      </c>
      <c r="C8">
        <v>1</v>
      </c>
      <c r="D8">
        <v>18</v>
      </c>
      <c r="E8">
        <v>18</v>
      </c>
      <c r="F8">
        <v>1064</v>
      </c>
      <c r="G8">
        <v>83</v>
      </c>
      <c r="H8">
        <v>1166</v>
      </c>
      <c r="I8" t="s">
        <v>34</v>
      </c>
    </row>
    <row r="9" spans="1:9" x14ac:dyDescent="0.2">
      <c r="A9" t="s">
        <v>49</v>
      </c>
      <c r="B9" t="s">
        <v>70</v>
      </c>
      <c r="C9">
        <v>9</v>
      </c>
      <c r="D9">
        <v>17</v>
      </c>
      <c r="E9">
        <v>153</v>
      </c>
      <c r="F9">
        <v>1123</v>
      </c>
      <c r="G9">
        <v>83</v>
      </c>
      <c r="H9">
        <v>1166</v>
      </c>
      <c r="I9" t="s">
        <v>34</v>
      </c>
    </row>
    <row r="10" spans="1:9" x14ac:dyDescent="0.2">
      <c r="A10" t="s">
        <v>49</v>
      </c>
      <c r="B10" t="s">
        <v>43</v>
      </c>
      <c r="C10">
        <v>1</v>
      </c>
      <c r="D10">
        <v>16</v>
      </c>
      <c r="E10">
        <v>16</v>
      </c>
      <c r="F10">
        <v>990</v>
      </c>
      <c r="G10">
        <v>83</v>
      </c>
      <c r="H10">
        <v>1166</v>
      </c>
      <c r="I10" t="s">
        <v>34</v>
      </c>
    </row>
    <row r="11" spans="1:9" x14ac:dyDescent="0.2">
      <c r="A11" t="s">
        <v>49</v>
      </c>
      <c r="B11" t="s">
        <v>71</v>
      </c>
      <c r="C11">
        <v>7</v>
      </c>
      <c r="D11">
        <v>15</v>
      </c>
      <c r="E11">
        <v>105</v>
      </c>
      <c r="F11">
        <v>1049</v>
      </c>
      <c r="G11">
        <v>83</v>
      </c>
      <c r="H11">
        <v>1166</v>
      </c>
      <c r="I11" t="s">
        <v>34</v>
      </c>
    </row>
    <row r="12" spans="1:9" x14ac:dyDescent="0.2">
      <c r="A12" t="s">
        <v>49</v>
      </c>
      <c r="B12" t="s">
        <v>46</v>
      </c>
      <c r="C12">
        <v>6</v>
      </c>
      <c r="D12">
        <v>14</v>
      </c>
      <c r="E12">
        <v>84</v>
      </c>
      <c r="F12">
        <v>964</v>
      </c>
      <c r="G12">
        <v>83</v>
      </c>
      <c r="H12">
        <v>1166</v>
      </c>
      <c r="I12" t="s">
        <v>34</v>
      </c>
    </row>
    <row r="13" spans="1:9" x14ac:dyDescent="0.2">
      <c r="A13" t="s">
        <v>49</v>
      </c>
      <c r="B13" t="s">
        <v>36</v>
      </c>
      <c r="C13">
        <v>3</v>
      </c>
      <c r="D13">
        <v>13</v>
      </c>
      <c r="E13">
        <v>39</v>
      </c>
      <c r="F13">
        <v>903</v>
      </c>
      <c r="G13">
        <v>83</v>
      </c>
      <c r="H13">
        <v>1166</v>
      </c>
      <c r="I13" t="s">
        <v>34</v>
      </c>
    </row>
    <row r="14" spans="1:9" x14ac:dyDescent="0.2">
      <c r="A14" t="s">
        <v>49</v>
      </c>
      <c r="B14" t="s">
        <v>48</v>
      </c>
      <c r="C14">
        <v>0</v>
      </c>
      <c r="D14">
        <v>12</v>
      </c>
      <c r="E14">
        <v>0</v>
      </c>
      <c r="F14">
        <v>914</v>
      </c>
      <c r="G14">
        <v>83</v>
      </c>
      <c r="H14">
        <v>1166</v>
      </c>
      <c r="I14" t="s">
        <v>34</v>
      </c>
    </row>
    <row r="15" spans="1:9" x14ac:dyDescent="0.2">
      <c r="A15" t="s">
        <v>49</v>
      </c>
      <c r="B15" t="s">
        <v>15</v>
      </c>
      <c r="C15">
        <v>5</v>
      </c>
      <c r="D15">
        <v>11</v>
      </c>
      <c r="E15">
        <v>55</v>
      </c>
      <c r="F15">
        <v>997</v>
      </c>
      <c r="G15">
        <v>83</v>
      </c>
      <c r="H15">
        <v>1166</v>
      </c>
      <c r="I15" t="s">
        <v>34</v>
      </c>
    </row>
    <row r="16" spans="1:9" x14ac:dyDescent="0.2">
      <c r="A16" t="s">
        <v>49</v>
      </c>
      <c r="B16" t="s">
        <v>40</v>
      </c>
      <c r="C16">
        <v>2</v>
      </c>
      <c r="D16">
        <v>10</v>
      </c>
      <c r="E16">
        <v>20</v>
      </c>
      <c r="F16">
        <v>960</v>
      </c>
      <c r="G16">
        <v>83</v>
      </c>
      <c r="H16">
        <v>1166</v>
      </c>
      <c r="I16" t="s">
        <v>34</v>
      </c>
    </row>
    <row r="17" spans="1:9" x14ac:dyDescent="0.2">
      <c r="A17" t="s">
        <v>49</v>
      </c>
      <c r="B17" t="s">
        <v>72</v>
      </c>
      <c r="C17">
        <v>1</v>
      </c>
      <c r="D17">
        <v>9</v>
      </c>
      <c r="E17">
        <v>9</v>
      </c>
      <c r="F17">
        <v>995</v>
      </c>
      <c r="G17">
        <v>83</v>
      </c>
      <c r="H17">
        <v>1166</v>
      </c>
      <c r="I17" t="s">
        <v>34</v>
      </c>
    </row>
    <row r="18" spans="1:9" x14ac:dyDescent="0.2">
      <c r="A18" t="s">
        <v>49</v>
      </c>
      <c r="B18" t="s">
        <v>34</v>
      </c>
      <c r="C18">
        <v>1</v>
      </c>
      <c r="D18">
        <v>8</v>
      </c>
      <c r="E18">
        <v>8</v>
      </c>
      <c r="F18">
        <v>1054</v>
      </c>
      <c r="G18">
        <v>83</v>
      </c>
      <c r="H18">
        <v>1166</v>
      </c>
      <c r="I18" t="s">
        <v>34</v>
      </c>
    </row>
    <row r="19" spans="1:9" x14ac:dyDescent="0.2">
      <c r="A19" t="s">
        <v>49</v>
      </c>
      <c r="B19" t="s">
        <v>9</v>
      </c>
      <c r="C19">
        <v>8</v>
      </c>
      <c r="D19">
        <v>7</v>
      </c>
      <c r="E19">
        <v>56</v>
      </c>
      <c r="F19">
        <v>1113</v>
      </c>
      <c r="G19">
        <v>83</v>
      </c>
      <c r="H19">
        <v>1166</v>
      </c>
      <c r="I19" t="s">
        <v>34</v>
      </c>
    </row>
    <row r="20" spans="1:9" x14ac:dyDescent="0.2">
      <c r="A20" t="s">
        <v>49</v>
      </c>
      <c r="B20" t="s">
        <v>52</v>
      </c>
      <c r="C20">
        <v>1</v>
      </c>
      <c r="D20">
        <v>6</v>
      </c>
      <c r="E20">
        <v>6</v>
      </c>
      <c r="F20">
        <v>1004</v>
      </c>
      <c r="G20">
        <v>83</v>
      </c>
      <c r="H20">
        <v>1166</v>
      </c>
      <c r="I20" t="s">
        <v>34</v>
      </c>
    </row>
    <row r="21" spans="1:9" x14ac:dyDescent="0.2">
      <c r="A21" t="s">
        <v>49</v>
      </c>
      <c r="B21" t="s">
        <v>21</v>
      </c>
      <c r="C21">
        <v>2</v>
      </c>
      <c r="D21">
        <v>5</v>
      </c>
      <c r="E21">
        <v>10</v>
      </c>
      <c r="F21">
        <v>1063</v>
      </c>
      <c r="G21">
        <v>83</v>
      </c>
      <c r="H21">
        <v>1166</v>
      </c>
      <c r="I21" t="s">
        <v>34</v>
      </c>
    </row>
    <row r="22" spans="1:9" x14ac:dyDescent="0.2">
      <c r="A22" t="s">
        <v>49</v>
      </c>
      <c r="B22" t="s">
        <v>29</v>
      </c>
      <c r="C22">
        <v>3</v>
      </c>
      <c r="D22">
        <v>4</v>
      </c>
      <c r="E22">
        <v>12</v>
      </c>
      <c r="F22">
        <v>1098</v>
      </c>
      <c r="G22">
        <v>83</v>
      </c>
      <c r="H22">
        <v>1166</v>
      </c>
      <c r="I22" t="s">
        <v>34</v>
      </c>
    </row>
    <row r="23" spans="1:9" x14ac:dyDescent="0.2">
      <c r="A23" t="s">
        <v>49</v>
      </c>
      <c r="B23" t="s">
        <v>37</v>
      </c>
      <c r="C23">
        <v>2</v>
      </c>
      <c r="D23">
        <v>3</v>
      </c>
      <c r="E23">
        <v>6</v>
      </c>
      <c r="F23">
        <v>1109</v>
      </c>
      <c r="G23">
        <v>83</v>
      </c>
      <c r="H23">
        <v>1166</v>
      </c>
      <c r="I23" t="s">
        <v>34</v>
      </c>
    </row>
    <row r="24" spans="1:9" x14ac:dyDescent="0.2">
      <c r="A24" t="s">
        <v>49</v>
      </c>
      <c r="B24" t="s">
        <v>23</v>
      </c>
      <c r="C24">
        <v>4</v>
      </c>
      <c r="D24">
        <v>2</v>
      </c>
      <c r="E24">
        <v>8</v>
      </c>
      <c r="F24">
        <v>1144</v>
      </c>
      <c r="G24">
        <v>83</v>
      </c>
      <c r="H24">
        <v>1166</v>
      </c>
      <c r="I24" t="s">
        <v>34</v>
      </c>
    </row>
    <row r="25" spans="1:9" x14ac:dyDescent="0.2">
      <c r="A25" t="s">
        <v>49</v>
      </c>
      <c r="B25" t="s">
        <v>26</v>
      </c>
      <c r="C25">
        <v>2</v>
      </c>
      <c r="D25">
        <v>1</v>
      </c>
      <c r="E25">
        <v>2</v>
      </c>
      <c r="F25">
        <v>1131</v>
      </c>
      <c r="G25">
        <v>83</v>
      </c>
      <c r="H25">
        <v>1166</v>
      </c>
      <c r="I25" t="s">
        <v>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50</v>
      </c>
      <c r="B2" t="s">
        <v>18</v>
      </c>
      <c r="C2">
        <v>8</v>
      </c>
      <c r="D2">
        <v>24</v>
      </c>
      <c r="E2">
        <v>192</v>
      </c>
      <c r="F2">
        <v>1083</v>
      </c>
      <c r="G2">
        <v>75</v>
      </c>
      <c r="H2">
        <v>1083</v>
      </c>
      <c r="I2" t="s">
        <v>9</v>
      </c>
    </row>
    <row r="3" spans="1:9" x14ac:dyDescent="0.2">
      <c r="A3" t="s">
        <v>50</v>
      </c>
      <c r="B3" t="s">
        <v>66</v>
      </c>
      <c r="C3">
        <v>10</v>
      </c>
      <c r="D3">
        <v>23</v>
      </c>
      <c r="E3">
        <v>230</v>
      </c>
      <c r="F3">
        <v>966</v>
      </c>
      <c r="G3">
        <v>75</v>
      </c>
      <c r="H3">
        <v>1083</v>
      </c>
      <c r="I3" t="s">
        <v>9</v>
      </c>
    </row>
    <row r="4" spans="1:9" x14ac:dyDescent="0.2">
      <c r="A4" t="s">
        <v>50</v>
      </c>
      <c r="B4" t="s">
        <v>41</v>
      </c>
      <c r="C4">
        <v>1</v>
      </c>
      <c r="D4">
        <v>22</v>
      </c>
      <c r="E4">
        <v>22</v>
      </c>
      <c r="F4">
        <v>801</v>
      </c>
      <c r="G4">
        <v>75</v>
      </c>
      <c r="H4">
        <v>1083</v>
      </c>
      <c r="I4" t="s">
        <v>9</v>
      </c>
    </row>
    <row r="5" spans="1:9" x14ac:dyDescent="0.2">
      <c r="A5" t="s">
        <v>50</v>
      </c>
      <c r="B5" t="s">
        <v>12</v>
      </c>
      <c r="C5">
        <v>5</v>
      </c>
      <c r="D5">
        <v>21</v>
      </c>
      <c r="E5">
        <v>105</v>
      </c>
      <c r="F5">
        <v>852</v>
      </c>
      <c r="G5">
        <v>75</v>
      </c>
      <c r="H5">
        <v>1083</v>
      </c>
      <c r="I5" t="s">
        <v>9</v>
      </c>
    </row>
    <row r="6" spans="1:9" x14ac:dyDescent="0.2">
      <c r="A6" t="s">
        <v>50</v>
      </c>
      <c r="B6" t="s">
        <v>67</v>
      </c>
      <c r="C6">
        <v>3</v>
      </c>
      <c r="D6">
        <v>20</v>
      </c>
      <c r="E6">
        <v>60</v>
      </c>
      <c r="F6">
        <v>807</v>
      </c>
      <c r="G6">
        <v>75</v>
      </c>
      <c r="H6">
        <v>1083</v>
      </c>
      <c r="I6" t="s">
        <v>9</v>
      </c>
    </row>
    <row r="7" spans="1:9" x14ac:dyDescent="0.2">
      <c r="A7" t="s">
        <v>50</v>
      </c>
      <c r="B7" t="s">
        <v>68</v>
      </c>
      <c r="C7">
        <v>3</v>
      </c>
      <c r="D7">
        <v>19</v>
      </c>
      <c r="E7">
        <v>57</v>
      </c>
      <c r="F7">
        <v>810</v>
      </c>
      <c r="G7">
        <v>75</v>
      </c>
      <c r="H7">
        <v>1083</v>
      </c>
      <c r="I7" t="s">
        <v>9</v>
      </c>
    </row>
    <row r="8" spans="1:9" x14ac:dyDescent="0.2">
      <c r="A8" t="s">
        <v>50</v>
      </c>
      <c r="B8" t="s">
        <v>69</v>
      </c>
      <c r="C8">
        <v>0</v>
      </c>
      <c r="D8">
        <v>18</v>
      </c>
      <c r="E8">
        <v>0</v>
      </c>
      <c r="F8">
        <v>813</v>
      </c>
      <c r="G8">
        <v>75</v>
      </c>
      <c r="H8">
        <v>1083</v>
      </c>
      <c r="I8" t="s">
        <v>9</v>
      </c>
    </row>
    <row r="9" spans="1:9" x14ac:dyDescent="0.2">
      <c r="A9" t="s">
        <v>50</v>
      </c>
      <c r="B9" t="s">
        <v>70</v>
      </c>
      <c r="C9">
        <v>10</v>
      </c>
      <c r="D9">
        <v>17</v>
      </c>
      <c r="E9">
        <v>170</v>
      </c>
      <c r="F9">
        <v>888</v>
      </c>
      <c r="G9">
        <v>75</v>
      </c>
      <c r="H9">
        <v>1083</v>
      </c>
      <c r="I9" t="s">
        <v>9</v>
      </c>
    </row>
    <row r="10" spans="1:9" x14ac:dyDescent="0.2">
      <c r="A10" t="s">
        <v>50</v>
      </c>
      <c r="B10" t="s">
        <v>43</v>
      </c>
      <c r="C10">
        <v>0</v>
      </c>
      <c r="D10">
        <v>16</v>
      </c>
      <c r="E10">
        <v>0</v>
      </c>
      <c r="F10">
        <v>723</v>
      </c>
      <c r="G10">
        <v>75</v>
      </c>
      <c r="H10">
        <v>1083</v>
      </c>
      <c r="I10" t="s">
        <v>9</v>
      </c>
    </row>
    <row r="11" spans="1:9" x14ac:dyDescent="0.2">
      <c r="A11" t="s">
        <v>50</v>
      </c>
      <c r="B11" t="s">
        <v>71</v>
      </c>
      <c r="C11">
        <v>2</v>
      </c>
      <c r="D11">
        <v>15</v>
      </c>
      <c r="E11">
        <v>30</v>
      </c>
      <c r="F11">
        <v>798</v>
      </c>
      <c r="G11">
        <v>75</v>
      </c>
      <c r="H11">
        <v>1083</v>
      </c>
      <c r="I11" t="s">
        <v>9</v>
      </c>
    </row>
    <row r="12" spans="1:9" x14ac:dyDescent="0.2">
      <c r="A12" t="s">
        <v>50</v>
      </c>
      <c r="B12" t="s">
        <v>46</v>
      </c>
      <c r="C12">
        <v>1</v>
      </c>
      <c r="D12">
        <v>14</v>
      </c>
      <c r="E12">
        <v>14</v>
      </c>
      <c r="F12">
        <v>825</v>
      </c>
      <c r="G12">
        <v>75</v>
      </c>
      <c r="H12">
        <v>1083</v>
      </c>
      <c r="I12" t="s">
        <v>9</v>
      </c>
    </row>
    <row r="13" spans="1:9" x14ac:dyDescent="0.2">
      <c r="A13" t="s">
        <v>50</v>
      </c>
      <c r="B13" t="s">
        <v>36</v>
      </c>
      <c r="C13">
        <v>2</v>
      </c>
      <c r="D13">
        <v>13</v>
      </c>
      <c r="E13">
        <v>26</v>
      </c>
      <c r="F13">
        <v>876</v>
      </c>
      <c r="G13">
        <v>75</v>
      </c>
      <c r="H13">
        <v>1083</v>
      </c>
      <c r="I13" t="s">
        <v>9</v>
      </c>
    </row>
    <row r="14" spans="1:9" x14ac:dyDescent="0.2">
      <c r="A14" t="s">
        <v>50</v>
      </c>
      <c r="B14" t="s">
        <v>48</v>
      </c>
      <c r="C14">
        <v>2</v>
      </c>
      <c r="D14">
        <v>12</v>
      </c>
      <c r="E14">
        <v>24</v>
      </c>
      <c r="F14">
        <v>903</v>
      </c>
      <c r="G14">
        <v>75</v>
      </c>
      <c r="H14">
        <v>1083</v>
      </c>
      <c r="I14" t="s">
        <v>9</v>
      </c>
    </row>
    <row r="15" spans="1:9" x14ac:dyDescent="0.2">
      <c r="A15" t="s">
        <v>50</v>
      </c>
      <c r="B15" t="s">
        <v>15</v>
      </c>
      <c r="C15">
        <v>0</v>
      </c>
      <c r="D15">
        <v>11</v>
      </c>
      <c r="E15">
        <v>0</v>
      </c>
      <c r="F15">
        <v>930</v>
      </c>
      <c r="G15">
        <v>75</v>
      </c>
      <c r="H15">
        <v>1083</v>
      </c>
      <c r="I15" t="s">
        <v>9</v>
      </c>
    </row>
    <row r="16" spans="1:9" x14ac:dyDescent="0.2">
      <c r="A16" t="s">
        <v>50</v>
      </c>
      <c r="B16" t="s">
        <v>40</v>
      </c>
      <c r="C16">
        <v>5</v>
      </c>
      <c r="D16">
        <v>10</v>
      </c>
      <c r="E16">
        <v>50</v>
      </c>
      <c r="F16">
        <v>1005</v>
      </c>
      <c r="G16">
        <v>75</v>
      </c>
      <c r="H16">
        <v>1083</v>
      </c>
      <c r="I16" t="s">
        <v>9</v>
      </c>
    </row>
    <row r="17" spans="1:9" x14ac:dyDescent="0.2">
      <c r="A17" t="s">
        <v>50</v>
      </c>
      <c r="B17" t="s">
        <v>72</v>
      </c>
      <c r="C17">
        <v>2</v>
      </c>
      <c r="D17">
        <v>9</v>
      </c>
      <c r="E17">
        <v>18</v>
      </c>
      <c r="F17">
        <v>960</v>
      </c>
      <c r="G17">
        <v>75</v>
      </c>
      <c r="H17">
        <v>1083</v>
      </c>
      <c r="I17" t="s">
        <v>9</v>
      </c>
    </row>
    <row r="18" spans="1:9" x14ac:dyDescent="0.2">
      <c r="A18" t="s">
        <v>50</v>
      </c>
      <c r="B18" t="s">
        <v>34</v>
      </c>
      <c r="C18">
        <v>1</v>
      </c>
      <c r="D18">
        <v>8</v>
      </c>
      <c r="E18">
        <v>8</v>
      </c>
      <c r="F18">
        <v>987</v>
      </c>
      <c r="G18">
        <v>75</v>
      </c>
      <c r="H18">
        <v>1083</v>
      </c>
      <c r="I18" t="s">
        <v>9</v>
      </c>
    </row>
    <row r="19" spans="1:9" x14ac:dyDescent="0.2">
      <c r="A19" t="s">
        <v>50</v>
      </c>
      <c r="B19" t="s">
        <v>9</v>
      </c>
      <c r="C19">
        <v>2</v>
      </c>
      <c r="D19">
        <v>7</v>
      </c>
      <c r="E19">
        <v>14</v>
      </c>
      <c r="F19">
        <v>1038</v>
      </c>
      <c r="G19">
        <v>75</v>
      </c>
      <c r="H19">
        <v>1083</v>
      </c>
      <c r="I19" t="s">
        <v>9</v>
      </c>
    </row>
    <row r="20" spans="1:9" x14ac:dyDescent="0.2">
      <c r="A20" t="s">
        <v>50</v>
      </c>
      <c r="B20" t="s">
        <v>52</v>
      </c>
      <c r="C20">
        <v>2</v>
      </c>
      <c r="D20">
        <v>6</v>
      </c>
      <c r="E20">
        <v>12</v>
      </c>
      <c r="F20">
        <v>1065</v>
      </c>
      <c r="G20">
        <v>75</v>
      </c>
      <c r="H20">
        <v>1083</v>
      </c>
      <c r="I20" t="s">
        <v>9</v>
      </c>
    </row>
    <row r="21" spans="1:9" x14ac:dyDescent="0.2">
      <c r="A21" t="s">
        <v>50</v>
      </c>
      <c r="B21" t="s">
        <v>21</v>
      </c>
      <c r="C21">
        <v>4</v>
      </c>
      <c r="D21">
        <v>5</v>
      </c>
      <c r="E21">
        <v>20</v>
      </c>
      <c r="F21">
        <v>1092</v>
      </c>
      <c r="G21">
        <v>75</v>
      </c>
      <c r="H21">
        <v>1083</v>
      </c>
      <c r="I21" t="s">
        <v>9</v>
      </c>
    </row>
    <row r="22" spans="1:9" x14ac:dyDescent="0.2">
      <c r="A22" t="s">
        <v>50</v>
      </c>
      <c r="B22" t="s">
        <v>29</v>
      </c>
      <c r="C22">
        <v>5</v>
      </c>
      <c r="D22">
        <v>4</v>
      </c>
      <c r="E22">
        <v>20</v>
      </c>
      <c r="F22">
        <v>1071</v>
      </c>
      <c r="G22">
        <v>75</v>
      </c>
      <c r="H22">
        <v>1083</v>
      </c>
      <c r="I22" t="s">
        <v>9</v>
      </c>
    </row>
    <row r="23" spans="1:9" x14ac:dyDescent="0.2">
      <c r="A23" t="s">
        <v>50</v>
      </c>
      <c r="B23" t="s">
        <v>37</v>
      </c>
      <c r="C23">
        <v>1</v>
      </c>
      <c r="D23">
        <v>3</v>
      </c>
      <c r="E23">
        <v>3</v>
      </c>
      <c r="F23">
        <v>1026</v>
      </c>
      <c r="G23">
        <v>75</v>
      </c>
      <c r="H23">
        <v>1083</v>
      </c>
      <c r="I23" t="s">
        <v>9</v>
      </c>
    </row>
    <row r="24" spans="1:9" x14ac:dyDescent="0.2">
      <c r="A24" t="s">
        <v>50</v>
      </c>
      <c r="B24" t="s">
        <v>23</v>
      </c>
      <c r="C24">
        <v>2</v>
      </c>
      <c r="D24">
        <v>2</v>
      </c>
      <c r="E24">
        <v>4</v>
      </c>
      <c r="F24">
        <v>1077</v>
      </c>
      <c r="G24">
        <v>75</v>
      </c>
      <c r="H24">
        <v>1083</v>
      </c>
      <c r="I24" t="s">
        <v>9</v>
      </c>
    </row>
    <row r="25" spans="1:9" x14ac:dyDescent="0.2">
      <c r="A25" t="s">
        <v>50</v>
      </c>
      <c r="B25" t="s">
        <v>26</v>
      </c>
      <c r="C25">
        <v>4</v>
      </c>
      <c r="D25">
        <v>1</v>
      </c>
      <c r="E25">
        <v>4</v>
      </c>
      <c r="F25">
        <v>1104</v>
      </c>
      <c r="G25">
        <v>75</v>
      </c>
      <c r="H25">
        <v>1083</v>
      </c>
      <c r="I25" t="s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51</v>
      </c>
      <c r="B2" t="s">
        <v>18</v>
      </c>
      <c r="C2">
        <v>4</v>
      </c>
      <c r="D2">
        <v>24</v>
      </c>
      <c r="E2">
        <v>96</v>
      </c>
      <c r="F2">
        <v>1336</v>
      </c>
      <c r="G2">
        <v>114</v>
      </c>
      <c r="H2">
        <v>1336</v>
      </c>
      <c r="I2" t="s">
        <v>52</v>
      </c>
    </row>
    <row r="3" spans="1:9" x14ac:dyDescent="0.2">
      <c r="A3" t="s">
        <v>51</v>
      </c>
      <c r="B3" t="s">
        <v>66</v>
      </c>
      <c r="C3">
        <v>3</v>
      </c>
      <c r="D3">
        <v>23</v>
      </c>
      <c r="E3">
        <v>69</v>
      </c>
      <c r="F3">
        <v>1354</v>
      </c>
      <c r="G3">
        <v>114</v>
      </c>
      <c r="H3">
        <v>1336</v>
      </c>
      <c r="I3" t="s">
        <v>52</v>
      </c>
    </row>
    <row r="4" spans="1:9" x14ac:dyDescent="0.2">
      <c r="A4" t="s">
        <v>51</v>
      </c>
      <c r="B4" t="s">
        <v>41</v>
      </c>
      <c r="C4">
        <v>2</v>
      </c>
      <c r="D4">
        <v>22</v>
      </c>
      <c r="E4">
        <v>44</v>
      </c>
      <c r="F4">
        <v>1396</v>
      </c>
      <c r="G4">
        <v>114</v>
      </c>
      <c r="H4">
        <v>1336</v>
      </c>
      <c r="I4" t="s">
        <v>52</v>
      </c>
    </row>
    <row r="5" spans="1:9" x14ac:dyDescent="0.2">
      <c r="A5" t="s">
        <v>51</v>
      </c>
      <c r="B5" t="s">
        <v>12</v>
      </c>
      <c r="C5">
        <v>3</v>
      </c>
      <c r="D5">
        <v>21</v>
      </c>
      <c r="E5">
        <v>63</v>
      </c>
      <c r="F5">
        <v>1462</v>
      </c>
      <c r="G5">
        <v>114</v>
      </c>
      <c r="H5">
        <v>1336</v>
      </c>
      <c r="I5" t="s">
        <v>52</v>
      </c>
    </row>
    <row r="6" spans="1:9" x14ac:dyDescent="0.2">
      <c r="A6" t="s">
        <v>51</v>
      </c>
      <c r="B6" t="s">
        <v>67</v>
      </c>
      <c r="C6">
        <v>6</v>
      </c>
      <c r="D6">
        <v>20</v>
      </c>
      <c r="E6">
        <v>120</v>
      </c>
      <c r="F6">
        <v>1504</v>
      </c>
      <c r="G6">
        <v>114</v>
      </c>
      <c r="H6">
        <v>1336</v>
      </c>
      <c r="I6" t="s">
        <v>52</v>
      </c>
    </row>
    <row r="7" spans="1:9" x14ac:dyDescent="0.2">
      <c r="A7" t="s">
        <v>51</v>
      </c>
      <c r="B7" t="s">
        <v>68</v>
      </c>
      <c r="C7">
        <v>4</v>
      </c>
      <c r="D7">
        <v>19</v>
      </c>
      <c r="E7">
        <v>76</v>
      </c>
      <c r="F7">
        <v>1474</v>
      </c>
      <c r="G7">
        <v>114</v>
      </c>
      <c r="H7">
        <v>1336</v>
      </c>
      <c r="I7" t="s">
        <v>52</v>
      </c>
    </row>
    <row r="8" spans="1:9" x14ac:dyDescent="0.2">
      <c r="A8" t="s">
        <v>51</v>
      </c>
      <c r="B8" t="s">
        <v>69</v>
      </c>
      <c r="C8">
        <v>1</v>
      </c>
      <c r="D8">
        <v>18</v>
      </c>
      <c r="E8">
        <v>18</v>
      </c>
      <c r="F8">
        <v>1492</v>
      </c>
      <c r="G8">
        <v>114</v>
      </c>
      <c r="H8">
        <v>1336</v>
      </c>
      <c r="I8" t="s">
        <v>52</v>
      </c>
    </row>
    <row r="9" spans="1:9" x14ac:dyDescent="0.2">
      <c r="A9" t="s">
        <v>51</v>
      </c>
      <c r="B9" t="s">
        <v>70</v>
      </c>
      <c r="C9">
        <v>10</v>
      </c>
      <c r="D9">
        <v>17</v>
      </c>
      <c r="E9">
        <v>170</v>
      </c>
      <c r="F9">
        <v>1582</v>
      </c>
      <c r="G9">
        <v>114</v>
      </c>
      <c r="H9">
        <v>1336</v>
      </c>
      <c r="I9" t="s">
        <v>52</v>
      </c>
    </row>
    <row r="10" spans="1:9" x14ac:dyDescent="0.2">
      <c r="A10" t="s">
        <v>51</v>
      </c>
      <c r="B10" t="s">
        <v>43</v>
      </c>
      <c r="C10">
        <v>1</v>
      </c>
      <c r="D10">
        <v>16</v>
      </c>
      <c r="E10">
        <v>16</v>
      </c>
      <c r="F10">
        <v>1456</v>
      </c>
      <c r="G10">
        <v>114</v>
      </c>
      <c r="H10">
        <v>1336</v>
      </c>
      <c r="I10" t="s">
        <v>52</v>
      </c>
    </row>
    <row r="11" spans="1:9" x14ac:dyDescent="0.2">
      <c r="A11" t="s">
        <v>51</v>
      </c>
      <c r="B11" t="s">
        <v>71</v>
      </c>
      <c r="C11">
        <v>11</v>
      </c>
      <c r="D11">
        <v>15</v>
      </c>
      <c r="E11">
        <v>165</v>
      </c>
      <c r="F11">
        <v>1546</v>
      </c>
      <c r="G11">
        <v>114</v>
      </c>
      <c r="H11">
        <v>1336</v>
      </c>
      <c r="I11" t="s">
        <v>52</v>
      </c>
    </row>
    <row r="12" spans="1:9" x14ac:dyDescent="0.2">
      <c r="A12" t="s">
        <v>51</v>
      </c>
      <c r="B12" t="s">
        <v>46</v>
      </c>
      <c r="C12">
        <v>0</v>
      </c>
      <c r="D12">
        <v>14</v>
      </c>
      <c r="E12">
        <v>0</v>
      </c>
      <c r="F12">
        <v>1396</v>
      </c>
      <c r="G12">
        <v>114</v>
      </c>
      <c r="H12">
        <v>1336</v>
      </c>
      <c r="I12" t="s">
        <v>52</v>
      </c>
    </row>
    <row r="13" spans="1:9" x14ac:dyDescent="0.2">
      <c r="A13" t="s">
        <v>51</v>
      </c>
      <c r="B13" t="s">
        <v>36</v>
      </c>
      <c r="C13">
        <v>4</v>
      </c>
      <c r="D13">
        <v>13</v>
      </c>
      <c r="E13">
        <v>52</v>
      </c>
      <c r="F13">
        <v>1510</v>
      </c>
      <c r="G13">
        <v>114</v>
      </c>
      <c r="H13">
        <v>1336</v>
      </c>
      <c r="I13" t="s">
        <v>52</v>
      </c>
    </row>
    <row r="14" spans="1:9" x14ac:dyDescent="0.2">
      <c r="A14" t="s">
        <v>51</v>
      </c>
      <c r="B14" t="s">
        <v>48</v>
      </c>
      <c r="C14">
        <v>7</v>
      </c>
      <c r="D14">
        <v>12</v>
      </c>
      <c r="E14">
        <v>84</v>
      </c>
      <c r="F14">
        <v>1528</v>
      </c>
      <c r="G14">
        <v>114</v>
      </c>
      <c r="H14">
        <v>1336</v>
      </c>
      <c r="I14" t="s">
        <v>52</v>
      </c>
    </row>
    <row r="15" spans="1:9" x14ac:dyDescent="0.2">
      <c r="A15" t="s">
        <v>51</v>
      </c>
      <c r="B15" t="s">
        <v>15</v>
      </c>
      <c r="C15">
        <v>4</v>
      </c>
      <c r="D15">
        <v>11</v>
      </c>
      <c r="E15">
        <v>44</v>
      </c>
      <c r="F15">
        <v>1474</v>
      </c>
      <c r="G15">
        <v>114</v>
      </c>
      <c r="H15">
        <v>1336</v>
      </c>
      <c r="I15" t="s">
        <v>52</v>
      </c>
    </row>
    <row r="16" spans="1:9" x14ac:dyDescent="0.2">
      <c r="A16" t="s">
        <v>51</v>
      </c>
      <c r="B16" t="s">
        <v>40</v>
      </c>
      <c r="C16">
        <v>0</v>
      </c>
      <c r="D16">
        <v>10</v>
      </c>
      <c r="E16">
        <v>0</v>
      </c>
      <c r="F16">
        <v>1492</v>
      </c>
      <c r="G16">
        <v>114</v>
      </c>
      <c r="H16">
        <v>1336</v>
      </c>
      <c r="I16" t="s">
        <v>52</v>
      </c>
    </row>
    <row r="17" spans="1:9" x14ac:dyDescent="0.2">
      <c r="A17" t="s">
        <v>51</v>
      </c>
      <c r="B17" t="s">
        <v>72</v>
      </c>
      <c r="C17">
        <v>12</v>
      </c>
      <c r="D17">
        <v>9</v>
      </c>
      <c r="E17">
        <v>108</v>
      </c>
      <c r="F17">
        <v>1606</v>
      </c>
      <c r="G17">
        <v>114</v>
      </c>
      <c r="H17">
        <v>1336</v>
      </c>
      <c r="I17" t="s">
        <v>52</v>
      </c>
    </row>
    <row r="18" spans="1:9" x14ac:dyDescent="0.2">
      <c r="A18" t="s">
        <v>51</v>
      </c>
      <c r="B18" t="s">
        <v>34</v>
      </c>
      <c r="C18">
        <v>5</v>
      </c>
      <c r="D18">
        <v>8</v>
      </c>
      <c r="E18">
        <v>40</v>
      </c>
      <c r="F18">
        <v>1432</v>
      </c>
      <c r="G18">
        <v>114</v>
      </c>
      <c r="H18">
        <v>1336</v>
      </c>
      <c r="I18" t="s">
        <v>52</v>
      </c>
    </row>
    <row r="19" spans="1:9" x14ac:dyDescent="0.2">
      <c r="A19" t="s">
        <v>51</v>
      </c>
      <c r="B19" t="s">
        <v>9</v>
      </c>
      <c r="C19">
        <v>2</v>
      </c>
      <c r="D19">
        <v>7</v>
      </c>
      <c r="E19">
        <v>14</v>
      </c>
      <c r="F19">
        <v>1426</v>
      </c>
      <c r="G19">
        <v>114</v>
      </c>
      <c r="H19">
        <v>1336</v>
      </c>
      <c r="I19" t="s">
        <v>52</v>
      </c>
    </row>
    <row r="20" spans="1:9" x14ac:dyDescent="0.2">
      <c r="A20" t="s">
        <v>51</v>
      </c>
      <c r="B20" t="s">
        <v>52</v>
      </c>
      <c r="C20">
        <v>17</v>
      </c>
      <c r="D20">
        <v>6</v>
      </c>
      <c r="E20">
        <v>102</v>
      </c>
      <c r="F20">
        <v>1492</v>
      </c>
      <c r="G20">
        <v>114</v>
      </c>
      <c r="H20">
        <v>1336</v>
      </c>
      <c r="I20" t="s">
        <v>52</v>
      </c>
    </row>
    <row r="21" spans="1:9" x14ac:dyDescent="0.2">
      <c r="A21" t="s">
        <v>51</v>
      </c>
      <c r="B21" t="s">
        <v>21</v>
      </c>
      <c r="C21">
        <v>5</v>
      </c>
      <c r="D21">
        <v>5</v>
      </c>
      <c r="E21">
        <v>25</v>
      </c>
      <c r="F21">
        <v>1198</v>
      </c>
      <c r="G21">
        <v>114</v>
      </c>
      <c r="H21">
        <v>1336</v>
      </c>
      <c r="I21" t="s">
        <v>52</v>
      </c>
    </row>
    <row r="22" spans="1:9" x14ac:dyDescent="0.2">
      <c r="A22" t="s">
        <v>51</v>
      </c>
      <c r="B22" t="s">
        <v>29</v>
      </c>
      <c r="C22">
        <v>2</v>
      </c>
      <c r="D22">
        <v>4</v>
      </c>
      <c r="E22">
        <v>8</v>
      </c>
      <c r="F22">
        <v>1192</v>
      </c>
      <c r="G22">
        <v>114</v>
      </c>
      <c r="H22">
        <v>1336</v>
      </c>
      <c r="I22" t="s">
        <v>52</v>
      </c>
    </row>
    <row r="23" spans="1:9" x14ac:dyDescent="0.2">
      <c r="A23" t="s">
        <v>51</v>
      </c>
      <c r="B23" t="s">
        <v>37</v>
      </c>
      <c r="C23">
        <v>0</v>
      </c>
      <c r="D23">
        <v>3</v>
      </c>
      <c r="E23">
        <v>0</v>
      </c>
      <c r="F23">
        <v>1258</v>
      </c>
      <c r="G23">
        <v>114</v>
      </c>
      <c r="H23">
        <v>1336</v>
      </c>
      <c r="I23" t="s">
        <v>52</v>
      </c>
    </row>
    <row r="24" spans="1:9" x14ac:dyDescent="0.2">
      <c r="A24" t="s">
        <v>51</v>
      </c>
      <c r="B24" t="s">
        <v>23</v>
      </c>
      <c r="C24">
        <v>11</v>
      </c>
      <c r="D24">
        <v>2</v>
      </c>
      <c r="E24">
        <v>22</v>
      </c>
      <c r="F24">
        <v>1372</v>
      </c>
      <c r="G24">
        <v>114</v>
      </c>
      <c r="H24">
        <v>1336</v>
      </c>
      <c r="I24" t="s">
        <v>52</v>
      </c>
    </row>
    <row r="25" spans="1:9" x14ac:dyDescent="0.2">
      <c r="A25" t="s">
        <v>51</v>
      </c>
      <c r="B25" t="s">
        <v>26</v>
      </c>
      <c r="C25">
        <v>0</v>
      </c>
      <c r="D25">
        <v>1</v>
      </c>
      <c r="E25">
        <v>0</v>
      </c>
      <c r="F25">
        <v>1222</v>
      </c>
      <c r="G25">
        <v>114</v>
      </c>
      <c r="H25">
        <v>1336</v>
      </c>
      <c r="I25" t="s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53</v>
      </c>
      <c r="B2" t="s">
        <v>18</v>
      </c>
      <c r="C2">
        <v>3</v>
      </c>
      <c r="D2">
        <v>24</v>
      </c>
      <c r="E2">
        <v>72</v>
      </c>
      <c r="F2">
        <v>815</v>
      </c>
      <c r="G2">
        <v>72</v>
      </c>
      <c r="H2">
        <v>815</v>
      </c>
      <c r="I2" t="s">
        <v>29</v>
      </c>
    </row>
    <row r="3" spans="1:9" x14ac:dyDescent="0.2">
      <c r="A3" t="s">
        <v>53</v>
      </c>
      <c r="B3" t="s">
        <v>66</v>
      </c>
      <c r="C3">
        <v>2</v>
      </c>
      <c r="D3">
        <v>23</v>
      </c>
      <c r="E3">
        <v>46</v>
      </c>
      <c r="F3">
        <v>815</v>
      </c>
      <c r="G3">
        <v>72</v>
      </c>
      <c r="H3">
        <v>815</v>
      </c>
      <c r="I3" t="s">
        <v>29</v>
      </c>
    </row>
    <row r="4" spans="1:9" x14ac:dyDescent="0.2">
      <c r="A4" t="s">
        <v>53</v>
      </c>
      <c r="B4" t="s">
        <v>41</v>
      </c>
      <c r="C4">
        <v>0</v>
      </c>
      <c r="D4">
        <v>22</v>
      </c>
      <c r="E4">
        <v>0</v>
      </c>
      <c r="F4">
        <v>839</v>
      </c>
      <c r="G4">
        <v>72</v>
      </c>
      <c r="H4">
        <v>815</v>
      </c>
      <c r="I4" t="s">
        <v>29</v>
      </c>
    </row>
    <row r="5" spans="1:9" x14ac:dyDescent="0.2">
      <c r="A5" t="s">
        <v>53</v>
      </c>
      <c r="B5" t="s">
        <v>12</v>
      </c>
      <c r="C5">
        <v>1</v>
      </c>
      <c r="D5">
        <v>21</v>
      </c>
      <c r="E5">
        <v>21</v>
      </c>
      <c r="F5">
        <v>911</v>
      </c>
      <c r="G5">
        <v>72</v>
      </c>
      <c r="H5">
        <v>815</v>
      </c>
      <c r="I5" t="s">
        <v>29</v>
      </c>
    </row>
    <row r="6" spans="1:9" x14ac:dyDescent="0.2">
      <c r="A6" t="s">
        <v>53</v>
      </c>
      <c r="B6" t="s">
        <v>67</v>
      </c>
      <c r="C6">
        <v>7</v>
      </c>
      <c r="D6">
        <v>20</v>
      </c>
      <c r="E6">
        <v>140</v>
      </c>
      <c r="F6">
        <v>959</v>
      </c>
      <c r="G6">
        <v>72</v>
      </c>
      <c r="H6">
        <v>815</v>
      </c>
      <c r="I6" t="s">
        <v>29</v>
      </c>
    </row>
    <row r="7" spans="1:9" x14ac:dyDescent="0.2">
      <c r="A7" t="s">
        <v>53</v>
      </c>
      <c r="B7" t="s">
        <v>68</v>
      </c>
      <c r="C7">
        <v>2</v>
      </c>
      <c r="D7">
        <v>19</v>
      </c>
      <c r="E7">
        <v>38</v>
      </c>
      <c r="F7">
        <v>863</v>
      </c>
      <c r="G7">
        <v>72</v>
      </c>
      <c r="H7">
        <v>815</v>
      </c>
      <c r="I7" t="s">
        <v>29</v>
      </c>
    </row>
    <row r="8" spans="1:9" x14ac:dyDescent="0.2">
      <c r="A8" t="s">
        <v>53</v>
      </c>
      <c r="B8" t="s">
        <v>69</v>
      </c>
      <c r="C8">
        <v>1</v>
      </c>
      <c r="D8">
        <v>18</v>
      </c>
      <c r="E8">
        <v>18</v>
      </c>
      <c r="F8">
        <v>887</v>
      </c>
      <c r="G8">
        <v>72</v>
      </c>
      <c r="H8">
        <v>815</v>
      </c>
      <c r="I8" t="s">
        <v>29</v>
      </c>
    </row>
    <row r="9" spans="1:9" x14ac:dyDescent="0.2">
      <c r="A9" t="s">
        <v>53</v>
      </c>
      <c r="B9" t="s">
        <v>70</v>
      </c>
      <c r="C9">
        <v>2</v>
      </c>
      <c r="D9">
        <v>17</v>
      </c>
      <c r="E9">
        <v>34</v>
      </c>
      <c r="F9">
        <v>935</v>
      </c>
      <c r="G9">
        <v>72</v>
      </c>
      <c r="H9">
        <v>815</v>
      </c>
      <c r="I9" t="s">
        <v>29</v>
      </c>
    </row>
    <row r="10" spans="1:9" x14ac:dyDescent="0.2">
      <c r="A10" t="s">
        <v>53</v>
      </c>
      <c r="B10" t="s">
        <v>43</v>
      </c>
      <c r="C10">
        <v>5</v>
      </c>
      <c r="D10">
        <v>16</v>
      </c>
      <c r="E10">
        <v>80</v>
      </c>
      <c r="F10">
        <v>959</v>
      </c>
      <c r="G10">
        <v>72</v>
      </c>
      <c r="H10">
        <v>815</v>
      </c>
      <c r="I10" t="s">
        <v>29</v>
      </c>
    </row>
    <row r="11" spans="1:9" x14ac:dyDescent="0.2">
      <c r="A11" t="s">
        <v>53</v>
      </c>
      <c r="B11" t="s">
        <v>71</v>
      </c>
      <c r="C11">
        <v>3</v>
      </c>
      <c r="D11">
        <v>15</v>
      </c>
      <c r="E11">
        <v>45</v>
      </c>
      <c r="F11">
        <v>911</v>
      </c>
      <c r="G11">
        <v>72</v>
      </c>
      <c r="H11">
        <v>815</v>
      </c>
      <c r="I11" t="s">
        <v>29</v>
      </c>
    </row>
    <row r="12" spans="1:9" x14ac:dyDescent="0.2">
      <c r="A12" t="s">
        <v>53</v>
      </c>
      <c r="B12" t="s">
        <v>46</v>
      </c>
      <c r="C12">
        <v>2</v>
      </c>
      <c r="D12">
        <v>14</v>
      </c>
      <c r="E12">
        <v>28</v>
      </c>
      <c r="F12">
        <v>911</v>
      </c>
      <c r="G12">
        <v>72</v>
      </c>
      <c r="H12">
        <v>815</v>
      </c>
      <c r="I12" t="s">
        <v>29</v>
      </c>
    </row>
    <row r="13" spans="1:9" x14ac:dyDescent="0.2">
      <c r="A13" t="s">
        <v>53</v>
      </c>
      <c r="B13" t="s">
        <v>36</v>
      </c>
      <c r="C13">
        <v>2</v>
      </c>
      <c r="D13">
        <v>13</v>
      </c>
      <c r="E13">
        <v>26</v>
      </c>
      <c r="F13">
        <v>935</v>
      </c>
      <c r="G13">
        <v>72</v>
      </c>
      <c r="H13">
        <v>815</v>
      </c>
      <c r="I13" t="s">
        <v>29</v>
      </c>
    </row>
    <row r="14" spans="1:9" x14ac:dyDescent="0.2">
      <c r="A14" t="s">
        <v>53</v>
      </c>
      <c r="B14" t="s">
        <v>48</v>
      </c>
      <c r="C14">
        <v>7</v>
      </c>
      <c r="D14">
        <v>12</v>
      </c>
      <c r="E14">
        <v>84</v>
      </c>
      <c r="F14">
        <v>959</v>
      </c>
      <c r="G14">
        <v>72</v>
      </c>
      <c r="H14">
        <v>815</v>
      </c>
      <c r="I14" t="s">
        <v>29</v>
      </c>
    </row>
    <row r="15" spans="1:9" x14ac:dyDescent="0.2">
      <c r="A15" t="s">
        <v>53</v>
      </c>
      <c r="B15" t="s">
        <v>15</v>
      </c>
      <c r="C15">
        <v>4</v>
      </c>
      <c r="D15">
        <v>11</v>
      </c>
      <c r="E15">
        <v>44</v>
      </c>
      <c r="F15">
        <v>863</v>
      </c>
      <c r="G15">
        <v>72</v>
      </c>
      <c r="H15">
        <v>815</v>
      </c>
      <c r="I15" t="s">
        <v>29</v>
      </c>
    </row>
    <row r="16" spans="1:9" x14ac:dyDescent="0.2">
      <c r="A16" t="s">
        <v>53</v>
      </c>
      <c r="B16" t="s">
        <v>40</v>
      </c>
      <c r="C16">
        <v>0</v>
      </c>
      <c r="D16">
        <v>10</v>
      </c>
      <c r="E16">
        <v>0</v>
      </c>
      <c r="F16">
        <v>839</v>
      </c>
      <c r="G16">
        <v>72</v>
      </c>
      <c r="H16">
        <v>815</v>
      </c>
      <c r="I16" t="s">
        <v>29</v>
      </c>
    </row>
    <row r="17" spans="1:9" x14ac:dyDescent="0.2">
      <c r="A17" t="s">
        <v>53</v>
      </c>
      <c r="B17" t="s">
        <v>72</v>
      </c>
      <c r="C17">
        <v>4</v>
      </c>
      <c r="D17">
        <v>9</v>
      </c>
      <c r="E17">
        <v>36</v>
      </c>
      <c r="F17">
        <v>911</v>
      </c>
      <c r="G17">
        <v>72</v>
      </c>
      <c r="H17">
        <v>815</v>
      </c>
      <c r="I17" t="s">
        <v>29</v>
      </c>
    </row>
    <row r="18" spans="1:9" x14ac:dyDescent="0.2">
      <c r="A18" t="s">
        <v>53</v>
      </c>
      <c r="B18" t="s">
        <v>34</v>
      </c>
      <c r="C18">
        <v>0</v>
      </c>
      <c r="D18">
        <v>8</v>
      </c>
      <c r="E18">
        <v>0</v>
      </c>
      <c r="F18">
        <v>887</v>
      </c>
      <c r="G18">
        <v>72</v>
      </c>
      <c r="H18">
        <v>815</v>
      </c>
      <c r="I18" t="s">
        <v>29</v>
      </c>
    </row>
    <row r="19" spans="1:9" x14ac:dyDescent="0.2">
      <c r="A19" t="s">
        <v>53</v>
      </c>
      <c r="B19" t="s">
        <v>9</v>
      </c>
      <c r="C19">
        <v>3</v>
      </c>
      <c r="D19">
        <v>7</v>
      </c>
      <c r="E19">
        <v>21</v>
      </c>
      <c r="F19">
        <v>959</v>
      </c>
      <c r="G19">
        <v>72</v>
      </c>
      <c r="H19">
        <v>815</v>
      </c>
      <c r="I19" t="s">
        <v>29</v>
      </c>
    </row>
    <row r="20" spans="1:9" x14ac:dyDescent="0.2">
      <c r="A20" t="s">
        <v>53</v>
      </c>
      <c r="B20" t="s">
        <v>52</v>
      </c>
      <c r="C20">
        <v>3</v>
      </c>
      <c r="D20">
        <v>6</v>
      </c>
      <c r="E20">
        <v>18</v>
      </c>
      <c r="F20">
        <v>959</v>
      </c>
      <c r="G20">
        <v>72</v>
      </c>
      <c r="H20">
        <v>815</v>
      </c>
      <c r="I20" t="s">
        <v>29</v>
      </c>
    </row>
    <row r="21" spans="1:9" x14ac:dyDescent="0.2">
      <c r="A21" t="s">
        <v>53</v>
      </c>
      <c r="B21" t="s">
        <v>21</v>
      </c>
      <c r="C21">
        <v>3</v>
      </c>
      <c r="D21">
        <v>5</v>
      </c>
      <c r="E21">
        <v>15</v>
      </c>
      <c r="F21">
        <v>959</v>
      </c>
      <c r="G21">
        <v>72</v>
      </c>
      <c r="H21">
        <v>815</v>
      </c>
      <c r="I21" t="s">
        <v>29</v>
      </c>
    </row>
    <row r="22" spans="1:9" x14ac:dyDescent="0.2">
      <c r="A22" t="s">
        <v>53</v>
      </c>
      <c r="B22" t="s">
        <v>29</v>
      </c>
      <c r="C22">
        <v>1</v>
      </c>
      <c r="D22">
        <v>4</v>
      </c>
      <c r="E22">
        <v>4</v>
      </c>
      <c r="F22">
        <v>959</v>
      </c>
      <c r="G22">
        <v>72</v>
      </c>
      <c r="H22">
        <v>815</v>
      </c>
      <c r="I22" t="s">
        <v>29</v>
      </c>
    </row>
    <row r="23" spans="1:9" x14ac:dyDescent="0.2">
      <c r="A23" t="s">
        <v>53</v>
      </c>
      <c r="B23" t="s">
        <v>37</v>
      </c>
      <c r="C23">
        <v>12</v>
      </c>
      <c r="D23">
        <v>3</v>
      </c>
      <c r="E23">
        <v>36</v>
      </c>
      <c r="F23">
        <v>1007</v>
      </c>
      <c r="G23">
        <v>72</v>
      </c>
      <c r="H23">
        <v>815</v>
      </c>
      <c r="I23" t="s">
        <v>29</v>
      </c>
    </row>
    <row r="24" spans="1:9" x14ac:dyDescent="0.2">
      <c r="A24" t="s">
        <v>53</v>
      </c>
      <c r="B24" t="s">
        <v>23</v>
      </c>
      <c r="C24">
        <v>4</v>
      </c>
      <c r="D24">
        <v>2</v>
      </c>
      <c r="E24">
        <v>8</v>
      </c>
      <c r="F24">
        <v>791</v>
      </c>
      <c r="G24">
        <v>72</v>
      </c>
      <c r="H24">
        <v>815</v>
      </c>
      <c r="I24" t="s">
        <v>29</v>
      </c>
    </row>
    <row r="25" spans="1:9" x14ac:dyDescent="0.2">
      <c r="A25" t="s">
        <v>53</v>
      </c>
      <c r="B25" t="s">
        <v>26</v>
      </c>
      <c r="C25">
        <v>1</v>
      </c>
      <c r="D25">
        <v>1</v>
      </c>
      <c r="E25">
        <v>1</v>
      </c>
      <c r="F25">
        <v>767</v>
      </c>
      <c r="G25">
        <v>72</v>
      </c>
      <c r="H25">
        <v>815</v>
      </c>
      <c r="I25" t="s">
        <v>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54</v>
      </c>
      <c r="B2" t="s">
        <v>18</v>
      </c>
      <c r="C2">
        <v>2</v>
      </c>
      <c r="D2">
        <v>24</v>
      </c>
      <c r="E2">
        <v>48</v>
      </c>
      <c r="F2">
        <v>489</v>
      </c>
      <c r="G2">
        <v>48</v>
      </c>
      <c r="H2">
        <v>489</v>
      </c>
      <c r="I2" t="s">
        <v>55</v>
      </c>
    </row>
    <row r="3" spans="1:9" x14ac:dyDescent="0.2">
      <c r="A3" t="s">
        <v>54</v>
      </c>
      <c r="B3" t="s">
        <v>66</v>
      </c>
      <c r="C3">
        <v>1</v>
      </c>
      <c r="D3">
        <v>23</v>
      </c>
      <c r="E3">
        <v>23</v>
      </c>
      <c r="F3">
        <v>489</v>
      </c>
      <c r="G3">
        <v>48</v>
      </c>
      <c r="H3">
        <v>489</v>
      </c>
      <c r="I3" t="s">
        <v>55</v>
      </c>
    </row>
    <row r="4" spans="1:9" x14ac:dyDescent="0.2">
      <c r="A4" t="s">
        <v>54</v>
      </c>
      <c r="B4" t="s">
        <v>41</v>
      </c>
      <c r="C4">
        <v>0</v>
      </c>
      <c r="D4">
        <v>22</v>
      </c>
      <c r="E4">
        <v>0</v>
      </c>
      <c r="F4">
        <v>513</v>
      </c>
      <c r="G4">
        <v>48</v>
      </c>
      <c r="H4">
        <v>489</v>
      </c>
      <c r="I4" t="s">
        <v>55</v>
      </c>
    </row>
    <row r="5" spans="1:9" x14ac:dyDescent="0.2">
      <c r="A5" t="s">
        <v>54</v>
      </c>
      <c r="B5" t="s">
        <v>12</v>
      </c>
      <c r="C5">
        <v>0</v>
      </c>
      <c r="D5">
        <v>21</v>
      </c>
      <c r="E5">
        <v>0</v>
      </c>
      <c r="F5">
        <v>561</v>
      </c>
      <c r="G5">
        <v>48</v>
      </c>
      <c r="H5">
        <v>489</v>
      </c>
      <c r="I5" t="s">
        <v>55</v>
      </c>
    </row>
    <row r="6" spans="1:9" x14ac:dyDescent="0.2">
      <c r="A6" t="s">
        <v>54</v>
      </c>
      <c r="B6" t="s">
        <v>67</v>
      </c>
      <c r="C6">
        <v>2</v>
      </c>
      <c r="D6">
        <v>20</v>
      </c>
      <c r="E6">
        <v>40</v>
      </c>
      <c r="F6">
        <v>609</v>
      </c>
      <c r="G6">
        <v>48</v>
      </c>
      <c r="H6">
        <v>489</v>
      </c>
      <c r="I6" t="s">
        <v>55</v>
      </c>
    </row>
    <row r="7" spans="1:9" x14ac:dyDescent="0.2">
      <c r="A7" t="s">
        <v>54</v>
      </c>
      <c r="B7" t="s">
        <v>68</v>
      </c>
      <c r="C7">
        <v>0</v>
      </c>
      <c r="D7">
        <v>19</v>
      </c>
      <c r="E7">
        <v>0</v>
      </c>
      <c r="F7">
        <v>609</v>
      </c>
      <c r="G7">
        <v>48</v>
      </c>
      <c r="H7">
        <v>489</v>
      </c>
      <c r="I7" t="s">
        <v>55</v>
      </c>
    </row>
    <row r="8" spans="1:9" x14ac:dyDescent="0.2">
      <c r="A8" t="s">
        <v>54</v>
      </c>
      <c r="B8" t="s">
        <v>69</v>
      </c>
      <c r="C8">
        <v>0</v>
      </c>
      <c r="D8">
        <v>18</v>
      </c>
      <c r="E8">
        <v>0</v>
      </c>
      <c r="F8">
        <v>657</v>
      </c>
      <c r="G8">
        <v>48</v>
      </c>
      <c r="H8">
        <v>489</v>
      </c>
      <c r="I8" t="s">
        <v>55</v>
      </c>
    </row>
    <row r="9" spans="1:9" x14ac:dyDescent="0.2">
      <c r="A9" t="s">
        <v>54</v>
      </c>
      <c r="B9" t="s">
        <v>70</v>
      </c>
      <c r="C9">
        <v>2</v>
      </c>
      <c r="D9">
        <v>17</v>
      </c>
      <c r="E9">
        <v>34</v>
      </c>
      <c r="F9">
        <v>705</v>
      </c>
      <c r="G9">
        <v>48</v>
      </c>
      <c r="H9">
        <v>489</v>
      </c>
      <c r="I9" t="s">
        <v>55</v>
      </c>
    </row>
    <row r="10" spans="1:9" x14ac:dyDescent="0.2">
      <c r="A10" t="s">
        <v>54</v>
      </c>
      <c r="B10" t="s">
        <v>43</v>
      </c>
      <c r="C10">
        <v>1</v>
      </c>
      <c r="D10">
        <v>16</v>
      </c>
      <c r="E10">
        <v>16</v>
      </c>
      <c r="F10">
        <v>705</v>
      </c>
      <c r="G10">
        <v>48</v>
      </c>
      <c r="H10">
        <v>489</v>
      </c>
      <c r="I10" t="s">
        <v>55</v>
      </c>
    </row>
    <row r="11" spans="1:9" x14ac:dyDescent="0.2">
      <c r="A11" t="s">
        <v>54</v>
      </c>
      <c r="B11" t="s">
        <v>71</v>
      </c>
      <c r="C11">
        <v>4</v>
      </c>
      <c r="D11">
        <v>15</v>
      </c>
      <c r="E11">
        <v>60</v>
      </c>
      <c r="F11">
        <v>729</v>
      </c>
      <c r="G11">
        <v>48</v>
      </c>
      <c r="H11">
        <v>489</v>
      </c>
      <c r="I11" t="s">
        <v>55</v>
      </c>
    </row>
    <row r="12" spans="1:9" x14ac:dyDescent="0.2">
      <c r="A12" t="s">
        <v>54</v>
      </c>
      <c r="B12" t="s">
        <v>46</v>
      </c>
      <c r="C12">
        <v>0</v>
      </c>
      <c r="D12">
        <v>14</v>
      </c>
      <c r="E12">
        <v>0</v>
      </c>
      <c r="F12">
        <v>681</v>
      </c>
      <c r="G12">
        <v>48</v>
      </c>
      <c r="H12">
        <v>489</v>
      </c>
      <c r="I12" t="s">
        <v>55</v>
      </c>
    </row>
    <row r="13" spans="1:9" x14ac:dyDescent="0.2">
      <c r="A13" t="s">
        <v>54</v>
      </c>
      <c r="B13" t="s">
        <v>36</v>
      </c>
      <c r="C13">
        <v>1</v>
      </c>
      <c r="D13">
        <v>13</v>
      </c>
      <c r="E13">
        <v>13</v>
      </c>
      <c r="F13">
        <v>729</v>
      </c>
      <c r="G13">
        <v>48</v>
      </c>
      <c r="H13">
        <v>489</v>
      </c>
      <c r="I13" t="s">
        <v>55</v>
      </c>
    </row>
    <row r="14" spans="1:9" x14ac:dyDescent="0.2">
      <c r="A14" t="s">
        <v>54</v>
      </c>
      <c r="B14" t="s">
        <v>48</v>
      </c>
      <c r="C14">
        <v>1</v>
      </c>
      <c r="D14">
        <v>12</v>
      </c>
      <c r="E14">
        <v>12</v>
      </c>
      <c r="F14">
        <v>753</v>
      </c>
      <c r="G14">
        <v>48</v>
      </c>
      <c r="H14">
        <v>489</v>
      </c>
      <c r="I14" t="s">
        <v>55</v>
      </c>
    </row>
    <row r="15" spans="1:9" x14ac:dyDescent="0.2">
      <c r="A15" t="s">
        <v>54</v>
      </c>
      <c r="B15" t="s">
        <v>15</v>
      </c>
      <c r="C15">
        <v>2</v>
      </c>
      <c r="D15">
        <v>11</v>
      </c>
      <c r="E15">
        <v>22</v>
      </c>
      <c r="F15">
        <v>777</v>
      </c>
      <c r="G15">
        <v>48</v>
      </c>
      <c r="H15">
        <v>489</v>
      </c>
      <c r="I15" t="s">
        <v>55</v>
      </c>
    </row>
    <row r="16" spans="1:9" x14ac:dyDescent="0.2">
      <c r="A16" t="s">
        <v>54</v>
      </c>
      <c r="B16" t="s">
        <v>40</v>
      </c>
      <c r="C16">
        <v>1</v>
      </c>
      <c r="D16">
        <v>10</v>
      </c>
      <c r="E16">
        <v>10</v>
      </c>
      <c r="F16">
        <v>777</v>
      </c>
      <c r="G16">
        <v>48</v>
      </c>
      <c r="H16">
        <v>489</v>
      </c>
      <c r="I16" t="s">
        <v>55</v>
      </c>
    </row>
    <row r="17" spans="1:9" x14ac:dyDescent="0.2">
      <c r="A17" t="s">
        <v>54</v>
      </c>
      <c r="B17" t="s">
        <v>72</v>
      </c>
      <c r="C17">
        <v>4</v>
      </c>
      <c r="D17">
        <v>9</v>
      </c>
      <c r="E17">
        <v>36</v>
      </c>
      <c r="F17">
        <v>801</v>
      </c>
      <c r="G17">
        <v>48</v>
      </c>
      <c r="H17">
        <v>489</v>
      </c>
      <c r="I17" t="s">
        <v>55</v>
      </c>
    </row>
    <row r="18" spans="1:9" x14ac:dyDescent="0.2">
      <c r="A18" t="s">
        <v>54</v>
      </c>
      <c r="B18" t="s">
        <v>34</v>
      </c>
      <c r="C18">
        <v>17</v>
      </c>
      <c r="D18">
        <v>8</v>
      </c>
      <c r="E18">
        <v>136</v>
      </c>
      <c r="F18">
        <v>753</v>
      </c>
      <c r="G18">
        <v>48</v>
      </c>
      <c r="H18">
        <v>489</v>
      </c>
      <c r="I18" t="s">
        <v>55</v>
      </c>
    </row>
    <row r="19" spans="1:9" x14ac:dyDescent="0.2">
      <c r="A19" t="s">
        <v>54</v>
      </c>
      <c r="B19" t="s">
        <v>9</v>
      </c>
      <c r="C19">
        <v>2</v>
      </c>
      <c r="D19">
        <v>7</v>
      </c>
      <c r="E19">
        <v>14</v>
      </c>
      <c r="F19">
        <v>393</v>
      </c>
      <c r="G19">
        <v>48</v>
      </c>
      <c r="H19">
        <v>489</v>
      </c>
      <c r="I19" t="s">
        <v>55</v>
      </c>
    </row>
    <row r="20" spans="1:9" x14ac:dyDescent="0.2">
      <c r="A20" t="s">
        <v>54</v>
      </c>
      <c r="B20" t="s">
        <v>52</v>
      </c>
      <c r="C20">
        <v>0</v>
      </c>
      <c r="D20">
        <v>6</v>
      </c>
      <c r="E20">
        <v>0</v>
      </c>
      <c r="F20">
        <v>393</v>
      </c>
      <c r="G20">
        <v>48</v>
      </c>
      <c r="H20">
        <v>489</v>
      </c>
      <c r="I20" t="s">
        <v>55</v>
      </c>
    </row>
    <row r="21" spans="1:9" x14ac:dyDescent="0.2">
      <c r="A21" t="s">
        <v>54</v>
      </c>
      <c r="B21" t="s">
        <v>21</v>
      </c>
      <c r="C21">
        <v>2</v>
      </c>
      <c r="D21">
        <v>5</v>
      </c>
      <c r="E21">
        <v>10</v>
      </c>
      <c r="F21">
        <v>441</v>
      </c>
      <c r="G21">
        <v>48</v>
      </c>
      <c r="H21">
        <v>489</v>
      </c>
      <c r="I21" t="s">
        <v>55</v>
      </c>
    </row>
    <row r="22" spans="1:9" x14ac:dyDescent="0.2">
      <c r="A22" t="s">
        <v>54</v>
      </c>
      <c r="B22" t="s">
        <v>29</v>
      </c>
      <c r="C22">
        <v>1</v>
      </c>
      <c r="D22">
        <v>4</v>
      </c>
      <c r="E22">
        <v>4</v>
      </c>
      <c r="F22">
        <v>441</v>
      </c>
      <c r="G22">
        <v>48</v>
      </c>
      <c r="H22">
        <v>489</v>
      </c>
      <c r="I22" t="s">
        <v>55</v>
      </c>
    </row>
    <row r="23" spans="1:9" x14ac:dyDescent="0.2">
      <c r="A23" t="s">
        <v>54</v>
      </c>
      <c r="B23" t="s">
        <v>37</v>
      </c>
      <c r="C23">
        <v>1</v>
      </c>
      <c r="D23">
        <v>3</v>
      </c>
      <c r="E23">
        <v>3</v>
      </c>
      <c r="F23">
        <v>465</v>
      </c>
      <c r="G23">
        <v>48</v>
      </c>
      <c r="H23">
        <v>489</v>
      </c>
      <c r="I23" t="s">
        <v>55</v>
      </c>
    </row>
    <row r="24" spans="1:9" x14ac:dyDescent="0.2">
      <c r="A24" t="s">
        <v>54</v>
      </c>
      <c r="B24" t="s">
        <v>23</v>
      </c>
      <c r="C24">
        <v>4</v>
      </c>
      <c r="D24">
        <v>2</v>
      </c>
      <c r="E24">
        <v>8</v>
      </c>
      <c r="F24">
        <v>489</v>
      </c>
      <c r="G24">
        <v>48</v>
      </c>
      <c r="H24">
        <v>489</v>
      </c>
      <c r="I24" t="s">
        <v>55</v>
      </c>
    </row>
    <row r="25" spans="1:9" x14ac:dyDescent="0.2">
      <c r="A25" t="s">
        <v>54</v>
      </c>
      <c r="B25" t="s">
        <v>26</v>
      </c>
      <c r="C25">
        <v>0</v>
      </c>
      <c r="D25">
        <v>1</v>
      </c>
      <c r="E25">
        <v>0</v>
      </c>
      <c r="F25">
        <v>441</v>
      </c>
      <c r="G25">
        <v>48</v>
      </c>
      <c r="H25">
        <v>489</v>
      </c>
      <c r="I25" t="s">
        <v>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6"/>
  <sheetViews>
    <sheetView topLeftCell="H1" workbookViewId="0">
      <selection activeCell="I40" sqref="I40"/>
    </sheetView>
  </sheetViews>
  <sheetFormatPr baseColWidth="10" defaultColWidth="8.83203125" defaultRowHeight="15" x14ac:dyDescent="0.2"/>
  <cols>
    <col min="3" max="3" width="12.83203125" bestFit="1" customWidth="1"/>
    <col min="4" max="4" width="12.6640625" bestFit="1" customWidth="1"/>
    <col min="5" max="5" width="21" bestFit="1" customWidth="1"/>
    <col min="6" max="6" width="10.5" bestFit="1" customWidth="1"/>
    <col min="7" max="7" width="10" bestFit="1" customWidth="1"/>
    <col min="8" max="8" width="16.33203125" bestFit="1" customWidth="1"/>
    <col min="9" max="9" width="14.83203125" bestFit="1" customWidth="1"/>
    <col min="12" max="12" width="13.33203125" bestFit="1" customWidth="1"/>
    <col min="13" max="13" width="13.6640625" bestFit="1" customWidth="1"/>
    <col min="14" max="14" width="13.5" bestFit="1" customWidth="1"/>
    <col min="15" max="15" width="13.5" customWidth="1"/>
    <col min="16" max="16" width="11.5" bestFit="1" customWidth="1"/>
    <col min="17" max="17" width="14.83203125" bestFit="1" customWidth="1"/>
  </cols>
  <sheetData>
    <row r="1" spans="1:17" ht="16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  <c r="J1" s="1" t="s">
        <v>0</v>
      </c>
      <c r="K1" s="2" t="s">
        <v>75</v>
      </c>
      <c r="L1" s="3" t="s">
        <v>76</v>
      </c>
      <c r="M1" s="3" t="s">
        <v>77</v>
      </c>
      <c r="N1" s="3" t="s">
        <v>78</v>
      </c>
      <c r="O1" s="13" t="s">
        <v>2</v>
      </c>
      <c r="P1" s="4" t="s">
        <v>79</v>
      </c>
      <c r="Q1" s="1" t="s">
        <v>65</v>
      </c>
    </row>
    <row r="2" spans="1:17" ht="16" x14ac:dyDescent="0.2">
      <c r="A2" t="s">
        <v>56</v>
      </c>
      <c r="B2" t="s">
        <v>18</v>
      </c>
      <c r="C2">
        <v>20</v>
      </c>
      <c r="D2">
        <v>24</v>
      </c>
      <c r="E2">
        <v>480</v>
      </c>
      <c r="F2">
        <v>2212</v>
      </c>
      <c r="G2">
        <v>146</v>
      </c>
      <c r="H2">
        <v>2212</v>
      </c>
      <c r="I2" t="s">
        <v>73</v>
      </c>
      <c r="J2" t="s">
        <v>56</v>
      </c>
      <c r="K2" s="5" t="s">
        <v>80</v>
      </c>
      <c r="L2" s="6"/>
      <c r="M2" s="6">
        <v>24</v>
      </c>
      <c r="N2" s="6">
        <f>L2*M2</f>
        <v>0</v>
      </c>
      <c r="O2" s="14">
        <v>43</v>
      </c>
      <c r="P2" s="7">
        <f>P3-L26+L2*24</f>
        <v>892</v>
      </c>
      <c r="Q2" t="s">
        <v>73</v>
      </c>
    </row>
    <row r="3" spans="1:17" ht="16" x14ac:dyDescent="0.2">
      <c r="A3" t="s">
        <v>56</v>
      </c>
      <c r="B3" t="s">
        <v>66</v>
      </c>
      <c r="C3">
        <v>2</v>
      </c>
      <c r="D3">
        <v>23</v>
      </c>
      <c r="E3">
        <v>46</v>
      </c>
      <c r="F3">
        <v>1878</v>
      </c>
      <c r="G3">
        <v>146</v>
      </c>
      <c r="H3">
        <v>2212</v>
      </c>
      <c r="I3" t="s">
        <v>73</v>
      </c>
      <c r="J3" t="s">
        <v>56</v>
      </c>
      <c r="K3" s="8" t="s">
        <v>81</v>
      </c>
      <c r="L3" s="6"/>
      <c r="M3" s="6">
        <v>23</v>
      </c>
      <c r="N3" s="6">
        <f t="shared" ref="N3:N25" si="0">L3*M3</f>
        <v>0</v>
      </c>
      <c r="O3" s="14">
        <v>43</v>
      </c>
      <c r="P3" s="7">
        <f>P4-L26+L3*24</f>
        <v>935</v>
      </c>
      <c r="Q3" t="s">
        <v>73</v>
      </c>
    </row>
    <row r="4" spans="1:17" ht="16" x14ac:dyDescent="0.2">
      <c r="A4" t="s">
        <v>56</v>
      </c>
      <c r="B4" t="s">
        <v>41</v>
      </c>
      <c r="C4">
        <v>8</v>
      </c>
      <c r="D4">
        <v>22</v>
      </c>
      <c r="E4">
        <v>176</v>
      </c>
      <c r="F4">
        <v>1976</v>
      </c>
      <c r="G4">
        <v>146</v>
      </c>
      <c r="H4">
        <v>2212</v>
      </c>
      <c r="I4" t="s">
        <v>73</v>
      </c>
      <c r="J4" t="s">
        <v>56</v>
      </c>
      <c r="K4" s="5" t="s">
        <v>82</v>
      </c>
      <c r="L4" s="6"/>
      <c r="M4" s="6">
        <v>22</v>
      </c>
      <c r="N4" s="6">
        <f t="shared" si="0"/>
        <v>0</v>
      </c>
      <c r="O4" s="14">
        <v>43</v>
      </c>
      <c r="P4" s="7">
        <f>P5-L26+L4*24</f>
        <v>978</v>
      </c>
      <c r="Q4" t="s">
        <v>73</v>
      </c>
    </row>
    <row r="5" spans="1:17" ht="16" x14ac:dyDescent="0.2">
      <c r="A5" t="s">
        <v>56</v>
      </c>
      <c r="B5" t="s">
        <v>12</v>
      </c>
      <c r="C5">
        <v>6</v>
      </c>
      <c r="D5">
        <v>21</v>
      </c>
      <c r="E5">
        <v>126</v>
      </c>
      <c r="F5">
        <v>1930</v>
      </c>
      <c r="G5">
        <v>146</v>
      </c>
      <c r="H5">
        <v>2212</v>
      </c>
      <c r="I5" t="s">
        <v>73</v>
      </c>
      <c r="J5" t="s">
        <v>56</v>
      </c>
      <c r="K5" s="5" t="s">
        <v>83</v>
      </c>
      <c r="L5" s="6"/>
      <c r="M5" s="6">
        <v>21</v>
      </c>
      <c r="N5" s="6">
        <f t="shared" si="0"/>
        <v>0</v>
      </c>
      <c r="O5" s="14">
        <v>43</v>
      </c>
      <c r="P5" s="7">
        <f>P6-L26+L5*24</f>
        <v>1021</v>
      </c>
      <c r="Q5" t="s">
        <v>73</v>
      </c>
    </row>
    <row r="6" spans="1:17" ht="16" x14ac:dyDescent="0.2">
      <c r="A6" t="s">
        <v>56</v>
      </c>
      <c r="B6" t="s">
        <v>67</v>
      </c>
      <c r="C6">
        <v>17</v>
      </c>
      <c r="D6">
        <v>20</v>
      </c>
      <c r="E6">
        <v>340</v>
      </c>
      <c r="F6">
        <v>1932</v>
      </c>
      <c r="G6">
        <v>146</v>
      </c>
      <c r="H6">
        <v>2212</v>
      </c>
      <c r="I6" t="s">
        <v>73</v>
      </c>
      <c r="J6" t="s">
        <v>56</v>
      </c>
      <c r="K6" s="5" t="s">
        <v>84</v>
      </c>
      <c r="L6" s="6">
        <v>3</v>
      </c>
      <c r="M6" s="6">
        <v>20</v>
      </c>
      <c r="N6" s="6">
        <f t="shared" si="0"/>
        <v>60</v>
      </c>
      <c r="O6" s="14">
        <v>43</v>
      </c>
      <c r="P6" s="7">
        <f>P7-L26+L6*24</f>
        <v>1064</v>
      </c>
      <c r="Q6" t="s">
        <v>73</v>
      </c>
    </row>
    <row r="7" spans="1:17" ht="16" x14ac:dyDescent="0.2">
      <c r="A7" t="s">
        <v>56</v>
      </c>
      <c r="B7" t="s">
        <v>68</v>
      </c>
      <c r="C7">
        <v>3</v>
      </c>
      <c r="D7">
        <v>19</v>
      </c>
      <c r="E7">
        <v>57</v>
      </c>
      <c r="F7">
        <v>1670</v>
      </c>
      <c r="G7">
        <v>146</v>
      </c>
      <c r="H7">
        <v>2212</v>
      </c>
      <c r="I7" t="s">
        <v>73</v>
      </c>
      <c r="J7" t="s">
        <v>56</v>
      </c>
      <c r="K7" s="5" t="s">
        <v>85</v>
      </c>
      <c r="L7" s="6"/>
      <c r="M7" s="6">
        <v>19</v>
      </c>
      <c r="N7" s="6">
        <f t="shared" si="0"/>
        <v>0</v>
      </c>
      <c r="O7" s="14">
        <v>43</v>
      </c>
      <c r="P7" s="7">
        <f>P8-L26+L7*24</f>
        <v>1035</v>
      </c>
      <c r="Q7" t="s">
        <v>73</v>
      </c>
    </row>
    <row r="8" spans="1:17" ht="16" x14ac:dyDescent="0.2">
      <c r="A8" t="s">
        <v>56</v>
      </c>
      <c r="B8" t="s">
        <v>69</v>
      </c>
      <c r="C8">
        <v>2</v>
      </c>
      <c r="D8">
        <v>18</v>
      </c>
      <c r="E8">
        <v>36</v>
      </c>
      <c r="F8">
        <v>1744</v>
      </c>
      <c r="G8">
        <v>146</v>
      </c>
      <c r="H8">
        <v>2212</v>
      </c>
      <c r="I8" t="s">
        <v>73</v>
      </c>
      <c r="J8" t="s">
        <v>56</v>
      </c>
      <c r="K8" s="5" t="s">
        <v>86</v>
      </c>
      <c r="L8" s="6">
        <v>1</v>
      </c>
      <c r="M8" s="6">
        <v>18</v>
      </c>
      <c r="N8" s="6">
        <f t="shared" si="0"/>
        <v>18</v>
      </c>
      <c r="O8" s="14">
        <v>43</v>
      </c>
      <c r="P8" s="7">
        <f>P9-L26+24*L8</f>
        <v>1078</v>
      </c>
      <c r="Q8" t="s">
        <v>73</v>
      </c>
    </row>
    <row r="9" spans="1:17" ht="16" x14ac:dyDescent="0.2">
      <c r="A9" t="s">
        <v>56</v>
      </c>
      <c r="B9" t="s">
        <v>70</v>
      </c>
      <c r="C9">
        <v>8</v>
      </c>
      <c r="D9">
        <v>17</v>
      </c>
      <c r="E9">
        <v>136</v>
      </c>
      <c r="F9">
        <v>1842</v>
      </c>
      <c r="G9">
        <v>146</v>
      </c>
      <c r="H9">
        <v>2212</v>
      </c>
      <c r="I9" t="s">
        <v>73</v>
      </c>
      <c r="J9" t="s">
        <v>56</v>
      </c>
      <c r="K9" s="5" t="s">
        <v>87</v>
      </c>
      <c r="L9" s="6">
        <v>1</v>
      </c>
      <c r="M9" s="6">
        <v>17</v>
      </c>
      <c r="N9" s="6">
        <f t="shared" si="0"/>
        <v>17</v>
      </c>
      <c r="O9" s="14">
        <v>43</v>
      </c>
      <c r="P9" s="7">
        <f>P10-L26+L9*24</f>
        <v>1097</v>
      </c>
      <c r="Q9" t="s">
        <v>73</v>
      </c>
    </row>
    <row r="10" spans="1:17" ht="16" x14ac:dyDescent="0.2">
      <c r="A10" t="s">
        <v>56</v>
      </c>
      <c r="B10" t="s">
        <v>43</v>
      </c>
      <c r="C10">
        <v>6</v>
      </c>
      <c r="D10">
        <v>16</v>
      </c>
      <c r="E10">
        <v>96</v>
      </c>
      <c r="F10">
        <v>1796</v>
      </c>
      <c r="G10">
        <v>146</v>
      </c>
      <c r="H10">
        <v>2212</v>
      </c>
      <c r="I10" t="s">
        <v>73</v>
      </c>
      <c r="J10" t="s">
        <v>56</v>
      </c>
      <c r="K10" s="5" t="s">
        <v>88</v>
      </c>
      <c r="L10" s="6">
        <v>1</v>
      </c>
      <c r="M10" s="6">
        <v>16</v>
      </c>
      <c r="N10" s="6">
        <f t="shared" si="0"/>
        <v>16</v>
      </c>
      <c r="O10" s="14">
        <v>43</v>
      </c>
      <c r="P10" s="7">
        <f>P11-L26+24*L10</f>
        <v>1116</v>
      </c>
      <c r="Q10" t="s">
        <v>73</v>
      </c>
    </row>
    <row r="11" spans="1:17" ht="16" x14ac:dyDescent="0.2">
      <c r="A11" t="s">
        <v>56</v>
      </c>
      <c r="B11" t="s">
        <v>71</v>
      </c>
      <c r="C11">
        <v>19</v>
      </c>
      <c r="D11">
        <v>15</v>
      </c>
      <c r="E11">
        <v>285</v>
      </c>
      <c r="F11">
        <v>1798</v>
      </c>
      <c r="G11">
        <v>146</v>
      </c>
      <c r="H11">
        <v>2212</v>
      </c>
      <c r="I11" t="s">
        <v>73</v>
      </c>
      <c r="J11" t="s">
        <v>56</v>
      </c>
      <c r="K11" s="5" t="s">
        <v>89</v>
      </c>
      <c r="L11" s="6"/>
      <c r="M11" s="6">
        <v>15</v>
      </c>
      <c r="N11" s="6">
        <f t="shared" si="0"/>
        <v>0</v>
      </c>
      <c r="O11" s="14">
        <v>43</v>
      </c>
      <c r="P11" s="7">
        <f>P12-L26+L11*24</f>
        <v>1135</v>
      </c>
      <c r="Q11" t="s">
        <v>73</v>
      </c>
    </row>
    <row r="12" spans="1:17" ht="16" x14ac:dyDescent="0.2">
      <c r="A12" t="s">
        <v>56</v>
      </c>
      <c r="B12" t="s">
        <v>46</v>
      </c>
      <c r="C12">
        <v>5</v>
      </c>
      <c r="D12">
        <v>14</v>
      </c>
      <c r="E12">
        <v>70</v>
      </c>
      <c r="F12">
        <v>1488</v>
      </c>
      <c r="G12">
        <v>146</v>
      </c>
      <c r="H12">
        <v>2212</v>
      </c>
      <c r="I12" t="s">
        <v>73</v>
      </c>
      <c r="J12" t="s">
        <v>56</v>
      </c>
      <c r="K12" s="5" t="s">
        <v>90</v>
      </c>
      <c r="L12" s="6"/>
      <c r="M12" s="6">
        <v>14</v>
      </c>
      <c r="N12" s="6">
        <f t="shared" si="0"/>
        <v>0</v>
      </c>
      <c r="O12" s="14">
        <v>43</v>
      </c>
      <c r="P12" s="7">
        <f>P13-L26+L12*24</f>
        <v>1178</v>
      </c>
      <c r="Q12" t="s">
        <v>73</v>
      </c>
    </row>
    <row r="13" spans="1:17" ht="16" x14ac:dyDescent="0.2">
      <c r="A13" t="s">
        <v>56</v>
      </c>
      <c r="B13" t="s">
        <v>36</v>
      </c>
      <c r="C13">
        <v>2</v>
      </c>
      <c r="D13">
        <v>13</v>
      </c>
      <c r="E13">
        <v>26</v>
      </c>
      <c r="F13">
        <v>1514</v>
      </c>
      <c r="G13">
        <v>146</v>
      </c>
      <c r="H13">
        <v>2212</v>
      </c>
      <c r="I13" t="s">
        <v>73</v>
      </c>
      <c r="J13" t="s">
        <v>56</v>
      </c>
      <c r="K13" s="5" t="s">
        <v>91</v>
      </c>
      <c r="L13" s="6">
        <v>1</v>
      </c>
      <c r="M13" s="6">
        <v>13</v>
      </c>
      <c r="N13" s="6">
        <f t="shared" si="0"/>
        <v>13</v>
      </c>
      <c r="O13" s="14">
        <v>43</v>
      </c>
      <c r="P13" s="7">
        <f>P14-L26+L13*24</f>
        <v>1221</v>
      </c>
      <c r="Q13" t="s">
        <v>73</v>
      </c>
    </row>
    <row r="14" spans="1:17" ht="16" x14ac:dyDescent="0.2">
      <c r="A14" t="s">
        <v>56</v>
      </c>
      <c r="B14" t="s">
        <v>48</v>
      </c>
      <c r="C14">
        <v>4</v>
      </c>
      <c r="D14">
        <v>12</v>
      </c>
      <c r="E14">
        <v>48</v>
      </c>
      <c r="F14">
        <v>1612</v>
      </c>
      <c r="G14">
        <v>146</v>
      </c>
      <c r="H14">
        <v>2212</v>
      </c>
      <c r="I14" t="s">
        <v>73</v>
      </c>
      <c r="J14" t="s">
        <v>56</v>
      </c>
      <c r="K14" s="5" t="s">
        <v>92</v>
      </c>
      <c r="L14" s="6">
        <v>2</v>
      </c>
      <c r="M14" s="6">
        <v>12</v>
      </c>
      <c r="N14" s="6">
        <f t="shared" si="0"/>
        <v>24</v>
      </c>
      <c r="O14" s="14">
        <v>43</v>
      </c>
      <c r="P14" s="7">
        <f>P15-L26+24*L14</f>
        <v>1240</v>
      </c>
      <c r="Q14" t="s">
        <v>73</v>
      </c>
    </row>
    <row r="15" spans="1:17" ht="16" x14ac:dyDescent="0.2">
      <c r="A15" t="s">
        <v>56</v>
      </c>
      <c r="B15" t="s">
        <v>15</v>
      </c>
      <c r="C15">
        <v>8</v>
      </c>
      <c r="D15">
        <v>11</v>
      </c>
      <c r="E15">
        <v>88</v>
      </c>
      <c r="F15">
        <v>1662</v>
      </c>
      <c r="G15">
        <v>146</v>
      </c>
      <c r="H15">
        <v>2212</v>
      </c>
      <c r="I15" t="s">
        <v>73</v>
      </c>
      <c r="J15" t="s">
        <v>56</v>
      </c>
      <c r="K15" s="5" t="s">
        <v>93</v>
      </c>
      <c r="L15" s="6">
        <v>4</v>
      </c>
      <c r="M15" s="6">
        <v>11</v>
      </c>
      <c r="N15" s="6">
        <f t="shared" si="0"/>
        <v>44</v>
      </c>
      <c r="O15" s="14">
        <v>43</v>
      </c>
      <c r="P15" s="7">
        <f>P16-$B26+L15*24</f>
        <v>1235</v>
      </c>
      <c r="Q15" t="s">
        <v>73</v>
      </c>
    </row>
    <row r="16" spans="1:17" ht="16" x14ac:dyDescent="0.2">
      <c r="A16" t="s">
        <v>56</v>
      </c>
      <c r="B16" t="s">
        <v>40</v>
      </c>
      <c r="C16">
        <v>4</v>
      </c>
      <c r="D16">
        <v>10</v>
      </c>
      <c r="E16">
        <v>40</v>
      </c>
      <c r="F16">
        <v>1616</v>
      </c>
      <c r="G16">
        <v>146</v>
      </c>
      <c r="H16">
        <v>2212</v>
      </c>
      <c r="I16" t="s">
        <v>73</v>
      </c>
      <c r="J16" t="s">
        <v>56</v>
      </c>
      <c r="K16" s="5" t="s">
        <v>94</v>
      </c>
      <c r="L16" s="6">
        <v>8</v>
      </c>
      <c r="M16" s="6">
        <v>10</v>
      </c>
      <c r="N16" s="6">
        <f t="shared" si="0"/>
        <v>80</v>
      </c>
      <c r="O16" s="14">
        <v>43</v>
      </c>
      <c r="P16" s="7">
        <f>P17-$B26+L16*24</f>
        <v>1139</v>
      </c>
      <c r="Q16" t="s">
        <v>73</v>
      </c>
    </row>
    <row r="17" spans="1:17" ht="16" x14ac:dyDescent="0.2">
      <c r="A17" t="s">
        <v>56</v>
      </c>
      <c r="B17" t="s">
        <v>72</v>
      </c>
      <c r="C17">
        <v>7</v>
      </c>
      <c r="D17">
        <v>9</v>
      </c>
      <c r="E17">
        <v>63</v>
      </c>
      <c r="F17">
        <v>1666</v>
      </c>
      <c r="G17">
        <v>146</v>
      </c>
      <c r="H17">
        <v>2212</v>
      </c>
      <c r="I17" t="s">
        <v>73</v>
      </c>
      <c r="J17" t="s">
        <v>56</v>
      </c>
      <c r="K17" s="5" t="s">
        <v>95</v>
      </c>
      <c r="L17" s="6">
        <v>4</v>
      </c>
      <c r="M17" s="6">
        <v>9</v>
      </c>
      <c r="N17" s="6">
        <f t="shared" si="0"/>
        <v>36</v>
      </c>
      <c r="O17" s="14">
        <v>43</v>
      </c>
      <c r="P17" s="7">
        <f>P18-$B26+L17*24</f>
        <v>947</v>
      </c>
      <c r="Q17" t="s">
        <v>73</v>
      </c>
    </row>
    <row r="18" spans="1:17" ht="16" x14ac:dyDescent="0.2">
      <c r="A18" t="s">
        <v>56</v>
      </c>
      <c r="B18" t="s">
        <v>34</v>
      </c>
      <c r="C18">
        <v>1</v>
      </c>
      <c r="D18">
        <v>8</v>
      </c>
      <c r="E18">
        <v>8</v>
      </c>
      <c r="F18">
        <v>1644</v>
      </c>
      <c r="G18">
        <v>146</v>
      </c>
      <c r="H18">
        <v>2212</v>
      </c>
      <c r="I18" t="s">
        <v>73</v>
      </c>
      <c r="J18" t="s">
        <v>56</v>
      </c>
      <c r="K18" s="5" t="s">
        <v>96</v>
      </c>
      <c r="L18" s="6">
        <v>7</v>
      </c>
      <c r="M18" s="6">
        <v>8</v>
      </c>
      <c r="N18" s="6">
        <f t="shared" si="0"/>
        <v>56</v>
      </c>
      <c r="O18" s="14">
        <v>43</v>
      </c>
      <c r="P18" s="7">
        <f>P19-$B26+L18*24</f>
        <v>851</v>
      </c>
      <c r="Q18" t="s">
        <v>73</v>
      </c>
    </row>
    <row r="19" spans="1:17" ht="16" x14ac:dyDescent="0.2">
      <c r="A19" t="s">
        <v>56</v>
      </c>
      <c r="B19" t="s">
        <v>9</v>
      </c>
      <c r="C19">
        <v>4</v>
      </c>
      <c r="D19">
        <v>7</v>
      </c>
      <c r="E19">
        <v>28</v>
      </c>
      <c r="F19">
        <v>1766</v>
      </c>
      <c r="G19">
        <v>146</v>
      </c>
      <c r="H19">
        <v>2212</v>
      </c>
      <c r="I19" t="s">
        <v>73</v>
      </c>
      <c r="J19" t="s">
        <v>56</v>
      </c>
      <c r="K19" s="5" t="s">
        <v>97</v>
      </c>
      <c r="L19" s="6">
        <v>1</v>
      </c>
      <c r="M19" s="6">
        <v>7</v>
      </c>
      <c r="N19" s="6">
        <f t="shared" si="0"/>
        <v>7</v>
      </c>
      <c r="O19" s="14">
        <v>43</v>
      </c>
      <c r="P19" s="7">
        <f>P20-$B26+L19*24</f>
        <v>683</v>
      </c>
      <c r="Q19" t="s">
        <v>73</v>
      </c>
    </row>
    <row r="20" spans="1:17" ht="16" x14ac:dyDescent="0.2">
      <c r="A20" t="s">
        <v>56</v>
      </c>
      <c r="B20" t="s">
        <v>52</v>
      </c>
      <c r="C20">
        <v>3</v>
      </c>
      <c r="D20">
        <v>6</v>
      </c>
      <c r="E20">
        <v>18</v>
      </c>
      <c r="F20">
        <v>1816</v>
      </c>
      <c r="G20">
        <v>146</v>
      </c>
      <c r="H20">
        <v>2212</v>
      </c>
      <c r="I20" t="s">
        <v>73</v>
      </c>
      <c r="J20" t="s">
        <v>56</v>
      </c>
      <c r="K20" s="5" t="s">
        <v>98</v>
      </c>
      <c r="L20" s="6">
        <v>4</v>
      </c>
      <c r="M20" s="6">
        <v>6</v>
      </c>
      <c r="N20" s="6">
        <f t="shared" si="0"/>
        <v>24</v>
      </c>
      <c r="O20" s="14">
        <v>43</v>
      </c>
      <c r="P20" s="7">
        <f>P21-$B26+L20*24</f>
        <v>659</v>
      </c>
      <c r="Q20" t="s">
        <v>73</v>
      </c>
    </row>
    <row r="21" spans="1:17" ht="16" x14ac:dyDescent="0.2">
      <c r="A21" t="s">
        <v>56</v>
      </c>
      <c r="B21" t="s">
        <v>21</v>
      </c>
      <c r="C21">
        <v>0</v>
      </c>
      <c r="D21">
        <v>5</v>
      </c>
      <c r="E21">
        <v>0</v>
      </c>
      <c r="F21">
        <v>1890</v>
      </c>
      <c r="G21">
        <v>146</v>
      </c>
      <c r="H21">
        <v>2212</v>
      </c>
      <c r="I21" t="s">
        <v>73</v>
      </c>
      <c r="J21" t="s">
        <v>56</v>
      </c>
      <c r="K21" s="5" t="s">
        <v>99</v>
      </c>
      <c r="L21" s="6">
        <v>3</v>
      </c>
      <c r="M21" s="6">
        <v>5</v>
      </c>
      <c r="N21" s="6">
        <f t="shared" si="0"/>
        <v>15</v>
      </c>
      <c r="O21" s="14">
        <v>43</v>
      </c>
      <c r="P21" s="7">
        <f>P22-$B26+L21*24</f>
        <v>563</v>
      </c>
      <c r="Q21" t="s">
        <v>73</v>
      </c>
    </row>
    <row r="22" spans="1:17" ht="16" x14ac:dyDescent="0.2">
      <c r="A22" t="s">
        <v>56</v>
      </c>
      <c r="B22" t="s">
        <v>29</v>
      </c>
      <c r="C22">
        <v>8</v>
      </c>
      <c r="D22">
        <v>4</v>
      </c>
      <c r="E22">
        <v>32</v>
      </c>
      <c r="F22">
        <v>2036</v>
      </c>
      <c r="G22">
        <v>146</v>
      </c>
      <c r="H22">
        <v>2212</v>
      </c>
      <c r="I22" t="s">
        <v>73</v>
      </c>
      <c r="J22" t="s">
        <v>56</v>
      </c>
      <c r="K22" s="5" t="s">
        <v>100</v>
      </c>
      <c r="L22" s="6"/>
      <c r="M22" s="6">
        <v>4</v>
      </c>
      <c r="N22" s="6">
        <f t="shared" si="0"/>
        <v>0</v>
      </c>
      <c r="O22" s="14">
        <v>43</v>
      </c>
      <c r="P22" s="7">
        <f>P23-$B26+L22*24</f>
        <v>491</v>
      </c>
      <c r="Q22" t="s">
        <v>73</v>
      </c>
    </row>
    <row r="23" spans="1:17" ht="16" x14ac:dyDescent="0.2">
      <c r="A23" t="s">
        <v>56</v>
      </c>
      <c r="B23" t="s">
        <v>37</v>
      </c>
      <c r="C23">
        <v>0</v>
      </c>
      <c r="D23">
        <v>3</v>
      </c>
      <c r="E23">
        <v>0</v>
      </c>
      <c r="F23">
        <v>1990</v>
      </c>
      <c r="G23">
        <v>146</v>
      </c>
      <c r="H23">
        <v>2212</v>
      </c>
      <c r="I23" t="s">
        <v>73</v>
      </c>
      <c r="J23" t="s">
        <v>56</v>
      </c>
      <c r="K23" s="5" t="s">
        <v>101</v>
      </c>
      <c r="L23" s="6">
        <v>3</v>
      </c>
      <c r="M23" s="6">
        <v>3</v>
      </c>
      <c r="N23" s="6">
        <f t="shared" si="0"/>
        <v>9</v>
      </c>
      <c r="O23" s="14">
        <v>43</v>
      </c>
      <c r="P23" s="7">
        <f>P24-$B26+24*L23</f>
        <v>491</v>
      </c>
      <c r="Q23" t="s">
        <v>73</v>
      </c>
    </row>
    <row r="24" spans="1:17" ht="16" x14ac:dyDescent="0.2">
      <c r="A24" t="s">
        <v>56</v>
      </c>
      <c r="B24" t="s">
        <v>23</v>
      </c>
      <c r="C24">
        <v>4</v>
      </c>
      <c r="D24">
        <v>2</v>
      </c>
      <c r="E24">
        <v>8</v>
      </c>
      <c r="F24">
        <v>2136</v>
      </c>
      <c r="G24">
        <v>146</v>
      </c>
      <c r="H24">
        <v>2212</v>
      </c>
      <c r="I24" t="s">
        <v>73</v>
      </c>
      <c r="J24" t="s">
        <v>56</v>
      </c>
      <c r="K24" s="5" t="s">
        <v>102</v>
      </c>
      <c r="L24" s="6"/>
      <c r="M24" s="6">
        <v>2</v>
      </c>
      <c r="N24" s="6">
        <f t="shared" si="0"/>
        <v>0</v>
      </c>
      <c r="O24" s="14">
        <v>43</v>
      </c>
      <c r="P24" s="7">
        <f>P25-$B26+L24*24</f>
        <v>419</v>
      </c>
      <c r="Q24" t="s">
        <v>73</v>
      </c>
    </row>
    <row r="25" spans="1:17" ht="16" x14ac:dyDescent="0.2">
      <c r="A25" t="s">
        <v>56</v>
      </c>
      <c r="B25" t="s">
        <v>26</v>
      </c>
      <c r="C25">
        <v>5</v>
      </c>
      <c r="D25">
        <v>1</v>
      </c>
      <c r="E25">
        <v>5</v>
      </c>
      <c r="F25">
        <v>2186</v>
      </c>
      <c r="G25">
        <v>146</v>
      </c>
      <c r="H25">
        <v>2212</v>
      </c>
      <c r="I25" t="s">
        <v>73</v>
      </c>
      <c r="J25" t="s">
        <v>56</v>
      </c>
      <c r="K25" s="5" t="s">
        <v>103</v>
      </c>
      <c r="L25" s="6"/>
      <c r="M25" s="6">
        <v>1</v>
      </c>
      <c r="N25" s="6">
        <f t="shared" si="0"/>
        <v>0</v>
      </c>
      <c r="O25" s="14">
        <v>43</v>
      </c>
      <c r="P25" s="9">
        <f>P26-M25*$B26+24*L25</f>
        <v>419</v>
      </c>
      <c r="Q25" t="s">
        <v>73</v>
      </c>
    </row>
    <row r="26" spans="1:17" ht="17" thickBot="1" x14ac:dyDescent="0.25">
      <c r="J26" t="s">
        <v>56</v>
      </c>
      <c r="K26" s="10" t="s">
        <v>80</v>
      </c>
      <c r="L26" s="11">
        <f>SUM(L2:L25)</f>
        <v>43</v>
      </c>
      <c r="M26" s="11"/>
      <c r="N26" s="11">
        <f>SUM(N2:N25)</f>
        <v>419</v>
      </c>
      <c r="O26" s="14">
        <v>43</v>
      </c>
      <c r="P26" s="12">
        <f>N26</f>
        <v>419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57</v>
      </c>
      <c r="B2" t="s">
        <v>18</v>
      </c>
      <c r="C2">
        <v>0</v>
      </c>
      <c r="D2">
        <v>24</v>
      </c>
      <c r="E2">
        <v>0</v>
      </c>
      <c r="F2">
        <v>664</v>
      </c>
      <c r="G2">
        <v>57</v>
      </c>
      <c r="H2">
        <v>664</v>
      </c>
      <c r="I2" t="s">
        <v>58</v>
      </c>
    </row>
    <row r="3" spans="1:9" x14ac:dyDescent="0.2">
      <c r="A3" t="s">
        <v>57</v>
      </c>
      <c r="B3" t="s">
        <v>66</v>
      </c>
      <c r="C3">
        <v>2</v>
      </c>
      <c r="D3">
        <v>23</v>
      </c>
      <c r="E3">
        <v>46</v>
      </c>
      <c r="F3">
        <v>721</v>
      </c>
      <c r="G3">
        <v>57</v>
      </c>
      <c r="H3">
        <v>664</v>
      </c>
      <c r="I3" t="s">
        <v>58</v>
      </c>
    </row>
    <row r="4" spans="1:9" x14ac:dyDescent="0.2">
      <c r="A4" t="s">
        <v>57</v>
      </c>
      <c r="B4" t="s">
        <v>41</v>
      </c>
      <c r="C4">
        <v>0</v>
      </c>
      <c r="D4">
        <v>22</v>
      </c>
      <c r="E4">
        <v>0</v>
      </c>
      <c r="F4">
        <v>730</v>
      </c>
      <c r="G4">
        <v>57</v>
      </c>
      <c r="H4">
        <v>664</v>
      </c>
      <c r="I4" t="s">
        <v>58</v>
      </c>
    </row>
    <row r="5" spans="1:9" x14ac:dyDescent="0.2">
      <c r="A5" t="s">
        <v>57</v>
      </c>
      <c r="B5" t="s">
        <v>12</v>
      </c>
      <c r="C5">
        <v>0</v>
      </c>
      <c r="D5">
        <v>21</v>
      </c>
      <c r="E5">
        <v>0</v>
      </c>
      <c r="F5">
        <v>787</v>
      </c>
      <c r="G5">
        <v>57</v>
      </c>
      <c r="H5">
        <v>664</v>
      </c>
      <c r="I5" t="s">
        <v>58</v>
      </c>
    </row>
    <row r="6" spans="1:9" x14ac:dyDescent="0.2">
      <c r="A6" t="s">
        <v>57</v>
      </c>
      <c r="B6" t="s">
        <v>67</v>
      </c>
      <c r="C6">
        <v>5</v>
      </c>
      <c r="D6">
        <v>20</v>
      </c>
      <c r="E6">
        <v>100</v>
      </c>
      <c r="F6">
        <v>844</v>
      </c>
      <c r="G6">
        <v>57</v>
      </c>
      <c r="H6">
        <v>664</v>
      </c>
      <c r="I6" t="s">
        <v>58</v>
      </c>
    </row>
    <row r="7" spans="1:9" x14ac:dyDescent="0.2">
      <c r="A7" t="s">
        <v>57</v>
      </c>
      <c r="B7" t="s">
        <v>68</v>
      </c>
      <c r="C7">
        <v>0</v>
      </c>
      <c r="D7">
        <v>19</v>
      </c>
      <c r="E7">
        <v>0</v>
      </c>
      <c r="F7">
        <v>781</v>
      </c>
      <c r="G7">
        <v>57</v>
      </c>
      <c r="H7">
        <v>664</v>
      </c>
      <c r="I7" t="s">
        <v>58</v>
      </c>
    </row>
    <row r="8" spans="1:9" x14ac:dyDescent="0.2">
      <c r="A8" t="s">
        <v>57</v>
      </c>
      <c r="B8" t="s">
        <v>69</v>
      </c>
      <c r="C8">
        <v>0</v>
      </c>
      <c r="D8">
        <v>18</v>
      </c>
      <c r="E8">
        <v>0</v>
      </c>
      <c r="F8">
        <v>838</v>
      </c>
      <c r="G8">
        <v>57</v>
      </c>
      <c r="H8">
        <v>664</v>
      </c>
      <c r="I8" t="s">
        <v>58</v>
      </c>
    </row>
    <row r="9" spans="1:9" x14ac:dyDescent="0.2">
      <c r="A9" t="s">
        <v>57</v>
      </c>
      <c r="B9" t="s">
        <v>70</v>
      </c>
      <c r="C9">
        <v>6</v>
      </c>
      <c r="D9">
        <v>17</v>
      </c>
      <c r="E9">
        <v>102</v>
      </c>
      <c r="F9">
        <v>895</v>
      </c>
      <c r="G9">
        <v>57</v>
      </c>
      <c r="H9">
        <v>664</v>
      </c>
      <c r="I9" t="s">
        <v>58</v>
      </c>
    </row>
    <row r="10" spans="1:9" x14ac:dyDescent="0.2">
      <c r="A10" t="s">
        <v>57</v>
      </c>
      <c r="B10" t="s">
        <v>43</v>
      </c>
      <c r="C10">
        <v>4</v>
      </c>
      <c r="D10">
        <v>16</v>
      </c>
      <c r="E10">
        <v>64</v>
      </c>
      <c r="F10">
        <v>808</v>
      </c>
      <c r="G10">
        <v>57</v>
      </c>
      <c r="H10">
        <v>664</v>
      </c>
      <c r="I10" t="s">
        <v>58</v>
      </c>
    </row>
    <row r="11" spans="1:9" x14ac:dyDescent="0.2">
      <c r="A11" t="s">
        <v>57</v>
      </c>
      <c r="B11" t="s">
        <v>71</v>
      </c>
      <c r="C11">
        <v>2</v>
      </c>
      <c r="D11">
        <v>15</v>
      </c>
      <c r="E11">
        <v>30</v>
      </c>
      <c r="F11">
        <v>769</v>
      </c>
      <c r="G11">
        <v>57</v>
      </c>
      <c r="H11">
        <v>664</v>
      </c>
      <c r="I11" t="s">
        <v>58</v>
      </c>
    </row>
    <row r="12" spans="1:9" x14ac:dyDescent="0.2">
      <c r="A12" t="s">
        <v>57</v>
      </c>
      <c r="B12" t="s">
        <v>46</v>
      </c>
      <c r="C12">
        <v>1</v>
      </c>
      <c r="D12">
        <v>14</v>
      </c>
      <c r="E12">
        <v>14</v>
      </c>
      <c r="F12">
        <v>778</v>
      </c>
      <c r="G12">
        <v>57</v>
      </c>
      <c r="H12">
        <v>664</v>
      </c>
      <c r="I12" t="s">
        <v>58</v>
      </c>
    </row>
    <row r="13" spans="1:9" x14ac:dyDescent="0.2">
      <c r="A13" t="s">
        <v>57</v>
      </c>
      <c r="B13" t="s">
        <v>36</v>
      </c>
      <c r="C13">
        <v>8</v>
      </c>
      <c r="D13">
        <v>13</v>
      </c>
      <c r="E13">
        <v>104</v>
      </c>
      <c r="F13">
        <v>811</v>
      </c>
      <c r="G13">
        <v>57</v>
      </c>
      <c r="H13">
        <v>664</v>
      </c>
      <c r="I13" t="s">
        <v>58</v>
      </c>
    </row>
    <row r="14" spans="1:9" x14ac:dyDescent="0.2">
      <c r="A14" t="s">
        <v>57</v>
      </c>
      <c r="B14" t="s">
        <v>48</v>
      </c>
      <c r="C14">
        <v>0</v>
      </c>
      <c r="D14">
        <v>12</v>
      </c>
      <c r="E14">
        <v>0</v>
      </c>
      <c r="F14">
        <v>676</v>
      </c>
      <c r="G14">
        <v>57</v>
      </c>
      <c r="H14">
        <v>664</v>
      </c>
      <c r="I14" t="s">
        <v>58</v>
      </c>
    </row>
    <row r="15" spans="1:9" x14ac:dyDescent="0.2">
      <c r="A15" t="s">
        <v>57</v>
      </c>
      <c r="B15" t="s">
        <v>15</v>
      </c>
      <c r="C15">
        <v>7</v>
      </c>
      <c r="D15">
        <v>11</v>
      </c>
      <c r="E15">
        <v>77</v>
      </c>
      <c r="F15">
        <v>733</v>
      </c>
      <c r="G15">
        <v>57</v>
      </c>
      <c r="H15">
        <v>664</v>
      </c>
      <c r="I15" t="s">
        <v>58</v>
      </c>
    </row>
    <row r="16" spans="1:9" x14ac:dyDescent="0.2">
      <c r="A16" t="s">
        <v>57</v>
      </c>
      <c r="B16" t="s">
        <v>40</v>
      </c>
      <c r="C16">
        <v>0</v>
      </c>
      <c r="D16">
        <v>10</v>
      </c>
      <c r="E16">
        <v>0</v>
      </c>
      <c r="F16">
        <v>622</v>
      </c>
      <c r="G16">
        <v>57</v>
      </c>
      <c r="H16">
        <v>664</v>
      </c>
      <c r="I16" t="s">
        <v>58</v>
      </c>
    </row>
    <row r="17" spans="1:9" x14ac:dyDescent="0.2">
      <c r="A17" t="s">
        <v>57</v>
      </c>
      <c r="B17" t="s">
        <v>72</v>
      </c>
      <c r="C17">
        <v>4</v>
      </c>
      <c r="D17">
        <v>9</v>
      </c>
      <c r="E17">
        <v>36</v>
      </c>
      <c r="F17">
        <v>679</v>
      </c>
      <c r="G17">
        <v>57</v>
      </c>
      <c r="H17">
        <v>664</v>
      </c>
      <c r="I17" t="s">
        <v>58</v>
      </c>
    </row>
    <row r="18" spans="1:9" x14ac:dyDescent="0.2">
      <c r="A18" t="s">
        <v>57</v>
      </c>
      <c r="B18" t="s">
        <v>34</v>
      </c>
      <c r="C18">
        <v>5</v>
      </c>
      <c r="D18">
        <v>8</v>
      </c>
      <c r="E18">
        <v>40</v>
      </c>
      <c r="F18">
        <v>640</v>
      </c>
      <c r="G18">
        <v>57</v>
      </c>
      <c r="H18">
        <v>664</v>
      </c>
      <c r="I18" t="s">
        <v>58</v>
      </c>
    </row>
    <row r="19" spans="1:9" x14ac:dyDescent="0.2">
      <c r="A19" t="s">
        <v>57</v>
      </c>
      <c r="B19" t="s">
        <v>9</v>
      </c>
      <c r="C19">
        <v>2</v>
      </c>
      <c r="D19">
        <v>7</v>
      </c>
      <c r="E19">
        <v>14</v>
      </c>
      <c r="F19">
        <v>577</v>
      </c>
      <c r="G19">
        <v>57</v>
      </c>
      <c r="H19">
        <v>664</v>
      </c>
      <c r="I19" t="s">
        <v>58</v>
      </c>
    </row>
    <row r="20" spans="1:9" x14ac:dyDescent="0.2">
      <c r="A20" t="s">
        <v>57</v>
      </c>
      <c r="B20" t="s">
        <v>52</v>
      </c>
      <c r="C20">
        <v>3</v>
      </c>
      <c r="D20">
        <v>6</v>
      </c>
      <c r="E20">
        <v>18</v>
      </c>
      <c r="F20">
        <v>586</v>
      </c>
      <c r="G20">
        <v>57</v>
      </c>
      <c r="H20">
        <v>664</v>
      </c>
      <c r="I20" t="s">
        <v>58</v>
      </c>
    </row>
    <row r="21" spans="1:9" x14ac:dyDescent="0.2">
      <c r="A21" t="s">
        <v>57</v>
      </c>
      <c r="B21" t="s">
        <v>21</v>
      </c>
      <c r="C21">
        <v>0</v>
      </c>
      <c r="D21">
        <v>5</v>
      </c>
      <c r="E21">
        <v>0</v>
      </c>
      <c r="F21">
        <v>571</v>
      </c>
      <c r="G21">
        <v>57</v>
      </c>
      <c r="H21">
        <v>664</v>
      </c>
      <c r="I21" t="s">
        <v>58</v>
      </c>
    </row>
    <row r="22" spans="1:9" x14ac:dyDescent="0.2">
      <c r="A22" t="s">
        <v>57</v>
      </c>
      <c r="B22" t="s">
        <v>29</v>
      </c>
      <c r="C22">
        <v>1</v>
      </c>
      <c r="D22">
        <v>4</v>
      </c>
      <c r="E22">
        <v>4</v>
      </c>
      <c r="F22">
        <v>628</v>
      </c>
      <c r="G22">
        <v>57</v>
      </c>
      <c r="H22">
        <v>664</v>
      </c>
      <c r="I22" t="s">
        <v>58</v>
      </c>
    </row>
    <row r="23" spans="1:9" x14ac:dyDescent="0.2">
      <c r="A23" t="s">
        <v>57</v>
      </c>
      <c r="B23" t="s">
        <v>37</v>
      </c>
      <c r="C23">
        <v>2</v>
      </c>
      <c r="D23">
        <v>3</v>
      </c>
      <c r="E23">
        <v>6</v>
      </c>
      <c r="F23">
        <v>661</v>
      </c>
      <c r="G23">
        <v>57</v>
      </c>
      <c r="H23">
        <v>664</v>
      </c>
      <c r="I23" t="s">
        <v>58</v>
      </c>
    </row>
    <row r="24" spans="1:9" x14ac:dyDescent="0.2">
      <c r="A24" t="s">
        <v>57</v>
      </c>
      <c r="B24" t="s">
        <v>23</v>
      </c>
      <c r="C24">
        <v>4</v>
      </c>
      <c r="D24">
        <v>2</v>
      </c>
      <c r="E24">
        <v>8</v>
      </c>
      <c r="F24">
        <v>670</v>
      </c>
      <c r="G24">
        <v>57</v>
      </c>
      <c r="H24">
        <v>664</v>
      </c>
      <c r="I24" t="s">
        <v>58</v>
      </c>
    </row>
    <row r="25" spans="1:9" x14ac:dyDescent="0.2">
      <c r="A25" t="s">
        <v>57</v>
      </c>
      <c r="B25" t="s">
        <v>26</v>
      </c>
      <c r="C25">
        <v>1</v>
      </c>
      <c r="D25">
        <v>1</v>
      </c>
      <c r="E25">
        <v>1</v>
      </c>
      <c r="F25">
        <v>631</v>
      </c>
      <c r="G25">
        <v>57</v>
      </c>
      <c r="H25">
        <v>664</v>
      </c>
      <c r="I25" t="s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59</v>
      </c>
      <c r="B2" t="s">
        <v>18</v>
      </c>
      <c r="C2">
        <v>3</v>
      </c>
      <c r="D2">
        <v>24</v>
      </c>
      <c r="E2">
        <v>72</v>
      </c>
      <c r="F2">
        <v>1323</v>
      </c>
      <c r="G2">
        <v>120</v>
      </c>
      <c r="H2">
        <v>1323</v>
      </c>
      <c r="I2" t="s">
        <v>74</v>
      </c>
    </row>
    <row r="3" spans="1:9" x14ac:dyDescent="0.2">
      <c r="A3" t="s">
        <v>59</v>
      </c>
      <c r="B3" t="s">
        <v>66</v>
      </c>
      <c r="C3">
        <v>2</v>
      </c>
      <c r="D3">
        <v>23</v>
      </c>
      <c r="E3">
        <v>46</v>
      </c>
      <c r="F3">
        <v>1371</v>
      </c>
      <c r="G3">
        <v>120</v>
      </c>
      <c r="H3">
        <v>1323</v>
      </c>
      <c r="I3" t="s">
        <v>74</v>
      </c>
    </row>
    <row r="4" spans="1:9" x14ac:dyDescent="0.2">
      <c r="A4" t="s">
        <v>59</v>
      </c>
      <c r="B4" t="s">
        <v>41</v>
      </c>
      <c r="C4">
        <v>6</v>
      </c>
      <c r="D4">
        <v>22</v>
      </c>
      <c r="E4">
        <v>132</v>
      </c>
      <c r="F4">
        <v>1443</v>
      </c>
      <c r="G4">
        <v>120</v>
      </c>
      <c r="H4">
        <v>1323</v>
      </c>
      <c r="I4" t="s">
        <v>74</v>
      </c>
    </row>
    <row r="5" spans="1:9" x14ac:dyDescent="0.2">
      <c r="A5" t="s">
        <v>59</v>
      </c>
      <c r="B5" t="s">
        <v>12</v>
      </c>
      <c r="C5">
        <v>6</v>
      </c>
      <c r="D5">
        <v>21</v>
      </c>
      <c r="E5">
        <v>126</v>
      </c>
      <c r="F5">
        <v>1419</v>
      </c>
      <c r="G5">
        <v>120</v>
      </c>
      <c r="H5">
        <v>1323</v>
      </c>
      <c r="I5" t="s">
        <v>74</v>
      </c>
    </row>
    <row r="6" spans="1:9" x14ac:dyDescent="0.2">
      <c r="A6" t="s">
        <v>59</v>
      </c>
      <c r="B6" t="s">
        <v>67</v>
      </c>
      <c r="C6">
        <v>7</v>
      </c>
      <c r="D6">
        <v>20</v>
      </c>
      <c r="E6">
        <v>140</v>
      </c>
      <c r="F6">
        <v>1395</v>
      </c>
      <c r="G6">
        <v>120</v>
      </c>
      <c r="H6">
        <v>1323</v>
      </c>
      <c r="I6" t="s">
        <v>74</v>
      </c>
    </row>
    <row r="7" spans="1:9" x14ac:dyDescent="0.2">
      <c r="A7" t="s">
        <v>59</v>
      </c>
      <c r="B7" t="s">
        <v>68</v>
      </c>
      <c r="C7">
        <v>3</v>
      </c>
      <c r="D7">
        <v>19</v>
      </c>
      <c r="E7">
        <v>57</v>
      </c>
      <c r="F7">
        <v>1347</v>
      </c>
      <c r="G7">
        <v>120</v>
      </c>
      <c r="H7">
        <v>1323</v>
      </c>
      <c r="I7" t="s">
        <v>74</v>
      </c>
    </row>
    <row r="8" spans="1:9" x14ac:dyDescent="0.2">
      <c r="A8" t="s">
        <v>59</v>
      </c>
      <c r="B8" t="s">
        <v>69</v>
      </c>
      <c r="C8">
        <v>3</v>
      </c>
      <c r="D8">
        <v>18</v>
      </c>
      <c r="E8">
        <v>54</v>
      </c>
      <c r="F8">
        <v>1395</v>
      </c>
      <c r="G8">
        <v>120</v>
      </c>
      <c r="H8">
        <v>1323</v>
      </c>
      <c r="I8" t="s">
        <v>74</v>
      </c>
    </row>
    <row r="9" spans="1:9" x14ac:dyDescent="0.2">
      <c r="A9" t="s">
        <v>59</v>
      </c>
      <c r="B9" t="s">
        <v>70</v>
      </c>
      <c r="C9">
        <v>7</v>
      </c>
      <c r="D9">
        <v>17</v>
      </c>
      <c r="E9">
        <v>119</v>
      </c>
      <c r="F9">
        <v>1443</v>
      </c>
      <c r="G9">
        <v>120</v>
      </c>
      <c r="H9">
        <v>1323</v>
      </c>
      <c r="I9" t="s">
        <v>74</v>
      </c>
    </row>
    <row r="10" spans="1:9" x14ac:dyDescent="0.2">
      <c r="A10" t="s">
        <v>59</v>
      </c>
      <c r="B10" t="s">
        <v>43</v>
      </c>
      <c r="C10">
        <v>3</v>
      </c>
      <c r="D10">
        <v>16</v>
      </c>
      <c r="E10">
        <v>48</v>
      </c>
      <c r="F10">
        <v>1395</v>
      </c>
      <c r="G10">
        <v>120</v>
      </c>
      <c r="H10">
        <v>1323</v>
      </c>
      <c r="I10" t="s">
        <v>74</v>
      </c>
    </row>
    <row r="11" spans="1:9" x14ac:dyDescent="0.2">
      <c r="A11" t="s">
        <v>59</v>
      </c>
      <c r="B11" t="s">
        <v>71</v>
      </c>
      <c r="C11">
        <v>0</v>
      </c>
      <c r="D11">
        <v>15</v>
      </c>
      <c r="E11">
        <v>0</v>
      </c>
      <c r="F11">
        <v>1443</v>
      </c>
      <c r="G11">
        <v>120</v>
      </c>
      <c r="H11">
        <v>1323</v>
      </c>
      <c r="I11" t="s">
        <v>74</v>
      </c>
    </row>
    <row r="12" spans="1:9" x14ac:dyDescent="0.2">
      <c r="A12" t="s">
        <v>59</v>
      </c>
      <c r="B12" t="s">
        <v>46</v>
      </c>
      <c r="C12">
        <v>3</v>
      </c>
      <c r="D12">
        <v>14</v>
      </c>
      <c r="E12">
        <v>42</v>
      </c>
      <c r="F12">
        <v>1563</v>
      </c>
      <c r="G12">
        <v>120</v>
      </c>
      <c r="H12">
        <v>1323</v>
      </c>
      <c r="I12" t="s">
        <v>74</v>
      </c>
    </row>
    <row r="13" spans="1:9" x14ac:dyDescent="0.2">
      <c r="A13" t="s">
        <v>59</v>
      </c>
      <c r="B13" t="s">
        <v>36</v>
      </c>
      <c r="C13">
        <v>6</v>
      </c>
      <c r="D13">
        <v>13</v>
      </c>
      <c r="E13">
        <v>78</v>
      </c>
      <c r="F13">
        <v>1611</v>
      </c>
      <c r="G13">
        <v>120</v>
      </c>
      <c r="H13">
        <v>1323</v>
      </c>
      <c r="I13" t="s">
        <v>74</v>
      </c>
    </row>
    <row r="14" spans="1:9" x14ac:dyDescent="0.2">
      <c r="A14" t="s">
        <v>59</v>
      </c>
      <c r="B14" t="s">
        <v>48</v>
      </c>
      <c r="C14">
        <v>2</v>
      </c>
      <c r="D14">
        <v>12</v>
      </c>
      <c r="E14">
        <v>24</v>
      </c>
      <c r="F14">
        <v>1587</v>
      </c>
      <c r="G14">
        <v>120</v>
      </c>
      <c r="H14">
        <v>1323</v>
      </c>
      <c r="I14" t="s">
        <v>74</v>
      </c>
    </row>
    <row r="15" spans="1:9" x14ac:dyDescent="0.2">
      <c r="A15" t="s">
        <v>59</v>
      </c>
      <c r="B15" t="s">
        <v>15</v>
      </c>
      <c r="C15">
        <v>3</v>
      </c>
      <c r="D15">
        <v>11</v>
      </c>
      <c r="E15">
        <v>33</v>
      </c>
      <c r="F15">
        <v>1659</v>
      </c>
      <c r="G15">
        <v>120</v>
      </c>
      <c r="H15">
        <v>1323</v>
      </c>
      <c r="I15" t="s">
        <v>74</v>
      </c>
    </row>
    <row r="16" spans="1:9" x14ac:dyDescent="0.2">
      <c r="A16" t="s">
        <v>59</v>
      </c>
      <c r="B16" t="s">
        <v>40</v>
      </c>
      <c r="C16">
        <v>9</v>
      </c>
      <c r="D16">
        <v>10</v>
      </c>
      <c r="E16">
        <v>90</v>
      </c>
      <c r="F16">
        <v>1707</v>
      </c>
      <c r="G16">
        <v>120</v>
      </c>
      <c r="H16">
        <v>1323</v>
      </c>
      <c r="I16" t="s">
        <v>74</v>
      </c>
    </row>
    <row r="17" spans="1:9" x14ac:dyDescent="0.2">
      <c r="A17" t="s">
        <v>59</v>
      </c>
      <c r="B17" t="s">
        <v>72</v>
      </c>
      <c r="C17">
        <v>1</v>
      </c>
      <c r="D17">
        <v>9</v>
      </c>
      <c r="E17">
        <v>9</v>
      </c>
      <c r="F17">
        <v>1611</v>
      </c>
      <c r="G17">
        <v>120</v>
      </c>
      <c r="H17">
        <v>1323</v>
      </c>
      <c r="I17" t="s">
        <v>74</v>
      </c>
    </row>
    <row r="18" spans="1:9" x14ac:dyDescent="0.2">
      <c r="A18" t="s">
        <v>59</v>
      </c>
      <c r="B18" t="s">
        <v>34</v>
      </c>
      <c r="C18">
        <v>2</v>
      </c>
      <c r="D18">
        <v>8</v>
      </c>
      <c r="E18">
        <v>16</v>
      </c>
      <c r="F18">
        <v>1707</v>
      </c>
      <c r="G18">
        <v>120</v>
      </c>
      <c r="H18">
        <v>1323</v>
      </c>
      <c r="I18" t="s">
        <v>74</v>
      </c>
    </row>
    <row r="19" spans="1:9" x14ac:dyDescent="0.2">
      <c r="A19" t="s">
        <v>59</v>
      </c>
      <c r="B19" t="s">
        <v>9</v>
      </c>
      <c r="C19">
        <v>18</v>
      </c>
      <c r="D19">
        <v>7</v>
      </c>
      <c r="E19">
        <v>126</v>
      </c>
      <c r="F19">
        <v>1779</v>
      </c>
      <c r="G19">
        <v>120</v>
      </c>
      <c r="H19">
        <v>1323</v>
      </c>
      <c r="I19" t="s">
        <v>74</v>
      </c>
    </row>
    <row r="20" spans="1:9" x14ac:dyDescent="0.2">
      <c r="A20" t="s">
        <v>59</v>
      </c>
      <c r="B20" t="s">
        <v>52</v>
      </c>
      <c r="C20">
        <v>3</v>
      </c>
      <c r="D20">
        <v>6</v>
      </c>
      <c r="E20">
        <v>18</v>
      </c>
      <c r="F20">
        <v>1467</v>
      </c>
      <c r="G20">
        <v>120</v>
      </c>
      <c r="H20">
        <v>1323</v>
      </c>
      <c r="I20" t="s">
        <v>74</v>
      </c>
    </row>
    <row r="21" spans="1:9" x14ac:dyDescent="0.2">
      <c r="A21" t="s">
        <v>59</v>
      </c>
      <c r="B21" t="s">
        <v>21</v>
      </c>
      <c r="C21">
        <v>0</v>
      </c>
      <c r="D21">
        <v>5</v>
      </c>
      <c r="E21">
        <v>0</v>
      </c>
      <c r="F21">
        <v>1515</v>
      </c>
      <c r="G21">
        <v>120</v>
      </c>
      <c r="H21">
        <v>1323</v>
      </c>
      <c r="I21" t="s">
        <v>74</v>
      </c>
    </row>
    <row r="22" spans="1:9" x14ac:dyDescent="0.2">
      <c r="A22" t="s">
        <v>59</v>
      </c>
      <c r="B22" t="s">
        <v>29</v>
      </c>
      <c r="C22">
        <v>6</v>
      </c>
      <c r="D22">
        <v>4</v>
      </c>
      <c r="E22">
        <v>24</v>
      </c>
      <c r="F22">
        <v>1635</v>
      </c>
      <c r="G22">
        <v>120</v>
      </c>
      <c r="H22">
        <v>1323</v>
      </c>
      <c r="I22" t="s">
        <v>74</v>
      </c>
    </row>
    <row r="23" spans="1:9" x14ac:dyDescent="0.2">
      <c r="A23" t="s">
        <v>59</v>
      </c>
      <c r="B23" t="s">
        <v>37</v>
      </c>
      <c r="C23">
        <v>18</v>
      </c>
      <c r="D23">
        <v>3</v>
      </c>
      <c r="E23">
        <v>54</v>
      </c>
      <c r="F23">
        <v>1611</v>
      </c>
      <c r="G23">
        <v>120</v>
      </c>
      <c r="H23">
        <v>1323</v>
      </c>
      <c r="I23" t="s">
        <v>74</v>
      </c>
    </row>
    <row r="24" spans="1:9" x14ac:dyDescent="0.2">
      <c r="A24" t="s">
        <v>59</v>
      </c>
      <c r="B24" t="s">
        <v>23</v>
      </c>
      <c r="C24">
        <v>6</v>
      </c>
      <c r="D24">
        <v>2</v>
      </c>
      <c r="E24">
        <v>12</v>
      </c>
      <c r="F24">
        <v>1299</v>
      </c>
      <c r="G24">
        <v>120</v>
      </c>
      <c r="H24">
        <v>1323</v>
      </c>
      <c r="I24" t="s">
        <v>74</v>
      </c>
    </row>
    <row r="25" spans="1:9" x14ac:dyDescent="0.2">
      <c r="A25" t="s">
        <v>59</v>
      </c>
      <c r="B25" t="s">
        <v>26</v>
      </c>
      <c r="C25">
        <v>3</v>
      </c>
      <c r="D25">
        <v>1</v>
      </c>
      <c r="E25">
        <v>3</v>
      </c>
      <c r="F25">
        <v>1275</v>
      </c>
      <c r="G25">
        <v>120</v>
      </c>
      <c r="H25">
        <v>1323</v>
      </c>
      <c r="I2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ITHALS</vt:lpstr>
      <vt:lpstr>ONRD</vt:lpstr>
      <vt:lpstr>ITHCBLB</vt:lpstr>
      <vt:lpstr>ITHDTR</vt:lpstr>
      <vt:lpstr>ITHRUS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Tong, Qianqian</cp:lastModifiedBy>
  <dcterms:created xsi:type="dcterms:W3CDTF">2025-10-13T03:28:37Z</dcterms:created>
  <dcterms:modified xsi:type="dcterms:W3CDTF">2025-10-13T15:50:54Z</dcterms:modified>
</cp:coreProperties>
</file>