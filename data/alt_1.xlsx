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anqiantong/PycharmProjects/yard_design/data/"/>
    </mc:Choice>
  </mc:AlternateContent>
  <xr:revisionPtr revIDLastSave="0" documentId="13_ncr:1_{3B1F41B3-7D7B-8D41-B6FA-DED31344DB33}" xr6:coauthVersionLast="47" xr6:coauthVersionMax="47" xr10:uidLastSave="{00000000-0000-0000-0000-000000000000}"/>
  <bookViews>
    <workbookView xWindow="0" yWindow="740" windowWidth="30240" windowHeight="18900" activeTab="1" xr2:uid="{1AB9BB2D-B9BE-421C-95F2-E1CD6D5201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103" i="2" l="1"/>
  <c r="BE102" i="2"/>
  <c r="BD102" i="2"/>
  <c r="BC102" i="2"/>
  <c r="BB102" i="2"/>
  <c r="BA102" i="2"/>
  <c r="AY102" i="2"/>
  <c r="AX102" i="2"/>
  <c r="AW102" i="2"/>
  <c r="AV102" i="2"/>
  <c r="AU102" i="2"/>
  <c r="AN102" i="2"/>
  <c r="AM102" i="2"/>
  <c r="AL102" i="2"/>
  <c r="AJ102" i="2"/>
  <c r="AH102" i="2"/>
  <c r="AG102" i="2"/>
  <c r="Z102" i="2"/>
  <c r="Y102" i="2"/>
  <c r="X102" i="2"/>
  <c r="W102" i="2"/>
  <c r="V102" i="2"/>
  <c r="T102" i="2"/>
  <c r="S102" i="2"/>
  <c r="BM101" i="2"/>
  <c r="AP100" i="2"/>
  <c r="AP102" i="2" s="1"/>
  <c r="AC100" i="2"/>
  <c r="AC102" i="2" s="1"/>
  <c r="BL97" i="2"/>
  <c r="BM97" i="2" s="1"/>
  <c r="AZ94" i="2"/>
  <c r="AZ102" i="2" s="1"/>
  <c r="AR94" i="2"/>
  <c r="AR102" i="2" s="1"/>
  <c r="U94" i="2"/>
  <c r="U102" i="2" s="1"/>
  <c r="AV90" i="2"/>
  <c r="Z90" i="2"/>
  <c r="BM89" i="2"/>
  <c r="AW85" i="2"/>
  <c r="Q85" i="2"/>
  <c r="Q102" i="2" s="1"/>
  <c r="BD84" i="2"/>
  <c r="W84" i="2"/>
  <c r="AT82" i="2"/>
  <c r="AT102" i="2" s="1"/>
  <c r="P82" i="2"/>
  <c r="M82" i="2"/>
  <c r="M102" i="2" s="1"/>
  <c r="BM81" i="2"/>
  <c r="AF80" i="2"/>
  <c r="AF102" i="2" s="1"/>
  <c r="BM77" i="2"/>
  <c r="BJ74" i="2"/>
  <c r="BM73" i="2"/>
  <c r="Y70" i="2"/>
  <c r="BM69" i="2"/>
  <c r="BM65" i="2"/>
  <c r="AY62" i="2"/>
  <c r="AX62" i="2"/>
  <c r="BM61" i="2"/>
  <c r="BH58" i="2"/>
  <c r="BE58" i="2"/>
  <c r="BC58" i="2"/>
  <c r="BM57" i="2"/>
  <c r="BF54" i="2"/>
  <c r="BF102" i="2" s="1"/>
  <c r="N54" i="2"/>
  <c r="N102" i="2" s="1"/>
  <c r="BM53" i="2"/>
  <c r="BM49" i="2"/>
  <c r="P48" i="2"/>
  <c r="P102" i="2" s="1"/>
  <c r="M48" i="2"/>
  <c r="AM46" i="2"/>
  <c r="AL46" i="2"/>
  <c r="T46" i="2"/>
  <c r="BM45" i="2"/>
  <c r="BB42" i="2"/>
  <c r="BA42" i="2"/>
  <c r="BM41" i="2"/>
  <c r="BM37" i="2"/>
  <c r="BI34" i="2"/>
  <c r="BG34" i="2"/>
  <c r="BG102" i="2" s="1"/>
  <c r="AO34" i="2"/>
  <c r="AO102" i="2" s="1"/>
  <c r="BM33" i="2"/>
  <c r="AJ32" i="2"/>
  <c r="AD32" i="2"/>
  <c r="AD102" i="2" s="1"/>
  <c r="AN30" i="2"/>
  <c r="BM29" i="2"/>
  <c r="AS26" i="2"/>
  <c r="AS102" i="2" s="1"/>
  <c r="AQ26" i="2"/>
  <c r="AQ102" i="2" s="1"/>
  <c r="O26" i="2"/>
  <c r="O102" i="2" s="1"/>
  <c r="BM25" i="2"/>
  <c r="AB24" i="2"/>
  <c r="AB102" i="2" s="1"/>
  <c r="AA24" i="2"/>
  <c r="AA102" i="2" s="1"/>
  <c r="BM21" i="2"/>
  <c r="AK20" i="2"/>
  <c r="AK102" i="2" s="1"/>
  <c r="AI20" i="2"/>
  <c r="AI102" i="2" s="1"/>
  <c r="V20" i="2"/>
  <c r="AH18" i="2"/>
  <c r="AG18" i="2"/>
  <c r="S18" i="2"/>
  <c r="R18" i="2"/>
  <c r="R102" i="2" s="1"/>
  <c r="BM17" i="2"/>
  <c r="X14" i="2"/>
  <c r="BM13" i="2"/>
  <c r="BH10" i="2"/>
  <c r="AE10" i="2"/>
  <c r="AE102" i="2" s="1"/>
  <c r="BM9" i="2"/>
  <c r="AU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</author>
    <author>Veith, Jalen M</author>
    <author>Johnson, Juliana C</author>
    <author>tc={6A14E792-72E7-0644-B830-7AD01A5545B5}</author>
    <author>tc={953FF23A-E7E9-2641-BF99-1FAE874775B4}</author>
    <author>tc={BDDBC191-F911-094E-A177-DD55C7B33597}</author>
  </authors>
  <commentList>
    <comment ref="AI9" authorId="0" shapeId="0" xr:uid="{975F5AC4-A123-EE43-A87D-1BDC77E3E73C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3</t>
        </r>
      </text>
    </comment>
    <comment ref="U13" authorId="1" shapeId="0" xr:uid="{903602DA-421E-D240-9E6B-E8DE4A610B43}">
      <text>
        <r>
          <rPr>
            <sz val="11"/>
            <color theme="1"/>
            <rFont val="Calibri"/>
            <family val="2"/>
            <scheme val="minor"/>
          </rPr>
          <t>Veith, Jalen M:
Pull 1 CLEA from Spare 1</t>
        </r>
      </text>
    </comment>
    <comment ref="AC13" authorId="1" shapeId="0" xr:uid="{F0094BFB-43C6-4D47-8F73-87ED770E5E15}">
      <text>
        <r>
          <rPr>
            <sz val="11"/>
            <color theme="1"/>
            <rFont val="Calibri"/>
            <family val="2"/>
            <scheme val="minor"/>
          </rPr>
          <t>Veith, Jalen M:
Pull 1 EVL from Spare 1</t>
        </r>
      </text>
    </comment>
    <comment ref="AW13" authorId="1" shapeId="0" xr:uid="{FE2FCB0C-31CD-0F42-AFEE-49B9279286BD}">
      <text>
        <r>
          <rPr>
            <sz val="11"/>
            <color theme="1"/>
            <rFont val="Calibri"/>
            <family val="2"/>
            <scheme val="minor"/>
          </rPr>
          <t>Veith, Jalen M:
Pulled from spare 4</t>
        </r>
      </text>
    </comment>
    <comment ref="Q17" authorId="1" shapeId="0" xr:uid="{2342BB8D-32F2-3146-9EFA-0AAFB625FA76}">
      <text>
        <r>
          <rPr>
            <sz val="11"/>
            <color theme="1"/>
            <rFont val="Calibri"/>
            <family val="2"/>
            <scheme val="minor"/>
          </rPr>
          <t>Veith, Jalen M:
Pulled from Spare 3</t>
        </r>
      </text>
    </comment>
    <comment ref="BC17" authorId="0" shapeId="0" xr:uid="{7900EF4A-7D75-4F47-99CC-0B4FCC67AF78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 from sp tk 4</t>
        </r>
      </text>
    </comment>
    <comment ref="R21" authorId="2" shapeId="0" xr:uid="{7A4C0E07-FF04-014B-8CEF-AA5BF30C7CD0}">
      <text>
        <r>
          <rPr>
            <b/>
            <sz val="9"/>
            <color indexed="81"/>
            <rFont val="Tahoma"/>
            <family val="2"/>
          </rPr>
          <t>Johnson, Juliana C:</t>
        </r>
        <r>
          <rPr>
            <sz val="9"/>
            <color indexed="81"/>
            <rFont val="Tahoma"/>
            <family val="2"/>
          </rPr>
          <t xml:space="preserve">
Move 2 CHBR to spare tk 2 (locked out)</t>
        </r>
      </text>
    </comment>
    <comment ref="S21" authorId="2" shapeId="0" xr:uid="{6AFE9377-AE41-F549-8C25-D294180459D2}">
      <text>
        <r>
          <rPr>
            <b/>
            <sz val="9"/>
            <color indexed="81"/>
            <rFont val="Tahoma"/>
            <family val="2"/>
          </rPr>
          <t>Johnson, Juliana C:</t>
        </r>
        <r>
          <rPr>
            <sz val="9"/>
            <color indexed="81"/>
            <rFont val="Tahoma"/>
            <family val="2"/>
          </rPr>
          <t xml:space="preserve">
Move 1 CHG to spare track 2 (locked out)</t>
        </r>
      </text>
    </comment>
    <comment ref="AG21" authorId="2" shapeId="0" xr:uid="{309EA6F2-99E2-F444-A7E6-A79FB7BD7B63}">
      <text>
        <r>
          <rPr>
            <b/>
            <sz val="9"/>
            <color indexed="81"/>
            <rFont val="Tahoma"/>
            <family val="2"/>
          </rPr>
          <t>Johnson, Juliana C:</t>
        </r>
        <r>
          <rPr>
            <sz val="9"/>
            <color indexed="81"/>
            <rFont val="Tahoma"/>
            <family val="2"/>
          </rPr>
          <t xml:space="preserve">
Move 1 INTM to spare tk 1 (locked out)</t>
        </r>
      </text>
    </comment>
    <comment ref="AI21" authorId="0" shapeId="0" xr:uid="{4D22FB87-DD9C-BC4F-91A5-92625F78223A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3 LAF to spare tk 3</t>
        </r>
      </text>
    </comment>
    <comment ref="BH21" authorId="2" shapeId="0" xr:uid="{F8513B83-44FB-7C46-8B59-1054035B6C19}">
      <text>
        <r>
          <rPr>
            <b/>
            <sz val="9"/>
            <color indexed="81"/>
            <rFont val="Tahoma"/>
            <family val="2"/>
          </rPr>
          <t>Johnson, Juliana C:</t>
        </r>
        <r>
          <rPr>
            <sz val="9"/>
            <color indexed="81"/>
            <rFont val="Tahoma"/>
            <family val="2"/>
          </rPr>
          <t xml:space="preserve">
1 INTM</t>
        </r>
      </text>
    </comment>
    <comment ref="BI21" authorId="2" shapeId="0" xr:uid="{52340652-8604-4D4A-859C-2E3A405764EF}">
      <text>
        <r>
          <rPr>
            <b/>
            <sz val="9"/>
            <color indexed="81"/>
            <rFont val="Tahoma"/>
            <family val="2"/>
          </rPr>
          <t>Johnson, Juliana C:</t>
        </r>
        <r>
          <rPr>
            <sz val="9"/>
            <color indexed="81"/>
            <rFont val="Tahoma"/>
            <family val="2"/>
          </rPr>
          <t xml:space="preserve">
2 CHBR + 1 CHG</t>
        </r>
      </text>
    </comment>
    <comment ref="BJ21" authorId="0" shapeId="0" xr:uid="{1B3499E7-7D7F-5742-89F7-77D247150E41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3 LAF</t>
        </r>
      </text>
    </comment>
    <comment ref="AA25" authorId="0" shapeId="0" xr:uid="{E9153CA3-B41C-3447-A8D1-5C348E1916A0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3 ESUK to spare tk 4</t>
        </r>
      </text>
    </comment>
    <comment ref="BK25" authorId="0" shapeId="0" xr:uid="{F99AA365-94B1-1C41-9972-58A8C9E08E42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3 EUSK</t>
        </r>
      </text>
    </comment>
    <comment ref="AQ29" authorId="0" shapeId="0" xr:uid="{028D9C85-C366-C544-839D-B54ADCA56486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10 NCR to sp tk 5</t>
        </r>
      </text>
    </comment>
    <comment ref="AS29" authorId="0" shapeId="0" xr:uid="{092044AC-5FC3-AC45-900F-9A3B01097A91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2 PITS to sp tk 5</t>
        </r>
      </text>
    </comment>
    <comment ref="BL29" authorId="0" shapeId="0" xr:uid="{532507D0-BE13-6542-97E0-C112AC86F2F2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10 NCR + 2 PITS</t>
        </r>
      </text>
    </comment>
    <comment ref="AA33" authorId="0" shapeId="0" xr:uid="{0EB7A96E-5E74-7F49-AE5A-73A813C59A1D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4</t>
        </r>
      </text>
    </comment>
    <comment ref="R37" authorId="0" shapeId="0" xr:uid="{47860DA3-E7ED-CF4F-B10C-CD5669928DA0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spare tk 2</t>
        </r>
      </text>
    </comment>
    <comment ref="S37" authorId="0" shapeId="0" xr:uid="{FD9583E1-FE09-6844-B6D5-D2DEDB1D1DAC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spare tk 2</t>
        </r>
      </text>
    </comment>
    <comment ref="AO37" authorId="0" shapeId="0" xr:uid="{6FA7E26F-01ED-BA47-A4D3-9CFD14866AA4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6 MRN to sp tk 2</t>
        </r>
      </text>
    </comment>
    <comment ref="BG37" authorId="0" shapeId="0" xr:uid="{E04229F2-1E62-614D-A503-663E18AD2990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2 WIL to sp tk 2</t>
        </r>
      </text>
    </comment>
    <comment ref="BI37" authorId="0" shapeId="0" xr:uid="{4895CDA2-3B96-7F45-992A-3C5504BA25A4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6 MRN + 2 WIL</t>
        </r>
      </text>
    </comment>
    <comment ref="AZ41" authorId="1" shapeId="0" xr:uid="{D4BABE36-AAFC-3E4A-9A33-488EDC677706}">
      <text>
        <r>
          <rPr>
            <sz val="11"/>
            <color theme="1"/>
            <rFont val="Calibri"/>
            <family val="2"/>
            <scheme val="minor"/>
          </rPr>
          <t>Veith, Jalen M:
Pull 3 SEL from Spare 2</t>
        </r>
      </text>
    </comment>
    <comment ref="BA45" authorId="0" shapeId="0" xr:uid="{1CC2375F-8375-E84E-813D-2CED5CB54B7B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1 THT to sp tl 4</t>
        </r>
      </text>
    </comment>
    <comment ref="M49" authorId="0" shapeId="0" xr:uid="{051B26B3-D5A7-7540-92F3-5E6AB69AD312}">
      <text>
        <r>
          <rPr>
            <sz val="11"/>
            <color theme="1"/>
            <rFont val="Calibri"/>
            <family val="2"/>
            <scheme val="minor"/>
          </rPr>
          <t>julia:
move 1 ANS to sp tk 3</t>
        </r>
      </text>
    </comment>
    <comment ref="P49" authorId="0" shapeId="0" xr:uid="{0E0F2D02-8BD1-1D42-B21E-D4495DB91E82}">
      <text>
        <r>
          <rPr>
            <sz val="11"/>
            <color theme="1"/>
            <rFont val="Calibri"/>
            <family val="2"/>
            <scheme val="minor"/>
          </rPr>
          <t>julia:
move 3 CBL  to sp tk 2</t>
        </r>
      </text>
    </comment>
    <comment ref="T49" authorId="0" shapeId="0" xr:uid="{AA846536-62C5-D644-A0F7-FA352DF68B03}">
      <text>
        <r>
          <rPr>
            <sz val="11"/>
            <color theme="1"/>
            <rFont val="Calibri"/>
            <family val="2"/>
            <scheme val="minor"/>
          </rPr>
          <t>julia:
Move CIN 9 to sp tk 2</t>
        </r>
      </text>
    </comment>
    <comment ref="AL49" authorId="0" shapeId="0" xr:uid="{A8A61122-27BB-E543-923B-64FDC1F9B422}">
      <text>
        <r>
          <rPr>
            <sz val="11"/>
            <color theme="1"/>
            <rFont val="Calibri"/>
            <family val="2"/>
            <scheme val="minor"/>
          </rPr>
          <t>julia:
Move 2 LICL to sp tk 2</t>
        </r>
      </text>
    </comment>
    <comment ref="AM49" authorId="0" shapeId="0" xr:uid="{23D642A1-C825-1043-9662-C6EDEEE1AEA4}">
      <text>
        <r>
          <rPr>
            <sz val="11"/>
            <color rgb="FF000000"/>
            <rFont val="Calibri"/>
            <family val="2"/>
          </rPr>
          <t xml:space="preserve">julia:
</t>
        </r>
        <r>
          <rPr>
            <sz val="11"/>
            <color rgb="FF000000"/>
            <rFont val="Calibri"/>
            <family val="2"/>
          </rPr>
          <t>move 4 LIRC to sp tk 2</t>
        </r>
      </text>
    </comment>
    <comment ref="BH49" authorId="0" shapeId="0" xr:uid="{754705A2-5446-0A4A-9D51-FD85F081D625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2 LICL + 4 LIRC</t>
        </r>
      </text>
    </comment>
    <comment ref="BI49" authorId="0" shapeId="0" xr:uid="{EAD75417-622A-9344-ADE8-B15054D6BCC9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9 CIN</t>
        </r>
      </text>
    </comment>
    <comment ref="BJ49" authorId="0" shapeId="0" xr:uid="{FF76A005-E50C-A945-BFAC-30089B720151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1 ANS</t>
        </r>
      </text>
    </comment>
    <comment ref="N57" authorId="0" shapeId="0" xr:uid="{91A50BA4-42E0-DC46-B04E-D60047163F9C}">
      <text>
        <r>
          <rPr>
            <sz val="11"/>
            <color theme="1"/>
            <rFont val="Calibri"/>
            <family val="2"/>
            <scheme val="minor"/>
          </rPr>
          <t>Move 5 BIR to sp tk 1</t>
        </r>
      </text>
    </comment>
    <comment ref="BF57" authorId="0" shapeId="0" xr:uid="{8B251A8D-CA04-7445-A79A-6F959F049909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2 WAX to sp tk 4</t>
        </r>
      </text>
    </comment>
    <comment ref="BH57" authorId="0" shapeId="0" xr:uid="{251E198B-A320-7E4B-A74E-D60781F60571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5 BIR</t>
        </r>
      </text>
    </comment>
    <comment ref="BK57" authorId="0" shapeId="0" xr:uid="{0E0A39E3-681B-664D-A324-7B0A19F570AB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2 WAX</t>
        </r>
      </text>
    </comment>
    <comment ref="N61" authorId="0" shapeId="0" xr:uid="{DED000F1-5A26-9E44-8AD4-1F53DD7B0C5C}">
      <text>
        <r>
          <rPr>
            <sz val="11"/>
            <color theme="1"/>
            <rFont val="Calibri"/>
            <family val="2"/>
            <scheme val="minor"/>
          </rPr>
          <t>pull from sp tk 1</t>
        </r>
      </text>
    </comment>
    <comment ref="BC61" authorId="0" shapeId="0" xr:uid="{C8C374E7-FF35-BD4E-BADC-E8E57C2DC11E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1 TOLS to sp tk 4</t>
        </r>
      </text>
    </comment>
    <comment ref="BF61" authorId="0" shapeId="0" xr:uid="{A1064BB6-ED97-0744-B3B7-6AF38EEC4AEC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4</t>
        </r>
      </text>
    </comment>
    <comment ref="BK61" authorId="0" shapeId="0" xr:uid="{F177D785-7972-E64D-8EE4-F918B659C412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1 TOLS</t>
        </r>
      </text>
    </comment>
    <comment ref="T69" authorId="0" shapeId="0" xr:uid="{D8B9C03F-1783-E040-9BD6-6B8A17E2569F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6</t>
        </r>
      </text>
    </comment>
    <comment ref="Y73" authorId="0" shapeId="0" xr:uid="{3A68FCAC-B551-4741-8106-E98C4AE46A89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Move 1 ESAL to sp tk 2</t>
        </r>
      </text>
    </comment>
    <comment ref="AL73" authorId="0" shapeId="0" xr:uid="{94AF07EA-8BF2-C74D-9329-A01AF73195B6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7</t>
        </r>
      </text>
    </comment>
    <comment ref="AM73" authorId="0" shapeId="0" xr:uid="{A98D56CB-B46F-094B-93E0-FA058C100D5D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7</t>
        </r>
      </text>
    </comment>
    <comment ref="AO73" authorId="0" shapeId="0" xr:uid="{5E231FE4-8FE7-704A-87BF-38585453C904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spare tk 2</t>
        </r>
      </text>
    </comment>
    <comment ref="BG73" authorId="0" shapeId="0" xr:uid="{123B94EF-DF65-7F4A-BF4C-3D8024D4CB75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spare tk 2</t>
        </r>
      </text>
    </comment>
    <comment ref="BI73" authorId="0" shapeId="0" xr:uid="{E8EF6BB6-7E0C-8643-9EC0-AA58A411B7AE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1 ESAL</t>
        </r>
      </text>
    </comment>
    <comment ref="M77" authorId="0" shapeId="0" xr:uid="{D5127DB1-FCED-A244-A9F4-BB23D7219D8D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8</t>
        </r>
      </text>
    </comment>
    <comment ref="P77" authorId="0" shapeId="0" xr:uid="{4A0A6146-1B48-F54C-A1EC-B462D068F14D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 from sp tk 8</t>
        </r>
      </text>
    </comment>
    <comment ref="AF81" authorId="1" shapeId="0" xr:uid="{603184FA-E18C-214B-9453-F8A1AA31D8D4}">
      <text>
        <r>
          <rPr>
            <sz val="11"/>
            <color theme="1"/>
            <rFont val="Calibri"/>
            <family val="2"/>
            <scheme val="minor"/>
          </rPr>
          <t>Veith, Jalen M:
Move 1 INRD to Spare 1</t>
        </r>
      </text>
    </comment>
    <comment ref="BH81" authorId="1" shapeId="0" xr:uid="{62F9F5C9-8574-CD48-87AD-DF751556D2D1}">
      <text>
        <r>
          <rPr>
            <sz val="11"/>
            <color theme="1"/>
            <rFont val="Calibri"/>
            <family val="2"/>
            <scheme val="minor"/>
          </rPr>
          <t>Veith, Jalen M:
1 INRD</t>
        </r>
      </text>
    </comment>
    <comment ref="M85" authorId="3" shapeId="0" xr:uid="{6A14E792-72E7-0644-B830-7AD01A5545B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3 ANS to Spare 1</t>
      </text>
    </comment>
    <comment ref="P85" authorId="4" shapeId="0" xr:uid="{953FF23A-E7E9-2641-BF99-1FAE874775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1 CBL to Spare 2</t>
      </text>
    </comment>
    <comment ref="Q85" authorId="5" shapeId="0" xr:uid="{BDDBC191-F911-094E-A177-DD55C7B335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1 CBS to Spare 3</t>
      </text>
    </comment>
    <comment ref="AW85" authorId="1" shapeId="0" xr:uid="{52061759-6FBE-1F4A-A403-FC75CC388970}">
      <text>
        <r>
          <rPr>
            <sz val="11"/>
            <color theme="1"/>
            <rFont val="Calibri"/>
            <family val="2"/>
            <scheme val="minor"/>
          </rPr>
          <t>Veith, Jalen M:
Move 1 RUS to Spare 4</t>
        </r>
      </text>
    </comment>
    <comment ref="BD85" authorId="1" shapeId="0" xr:uid="{B2E57EB7-5B8F-174F-A305-4AB3B8DB9EA4}">
      <text>
        <r>
          <rPr>
            <sz val="11"/>
            <color theme="1"/>
            <rFont val="Calibri"/>
            <family val="2"/>
            <scheme val="minor"/>
          </rPr>
          <t>Veith, Jalen M:
Move 1 TUSC to Spare 5</t>
        </r>
      </text>
    </comment>
    <comment ref="BH85" authorId="1" shapeId="0" xr:uid="{731D0B20-216C-6040-AB79-A277BC3E00BE}">
      <text>
        <r>
          <rPr>
            <sz val="11"/>
            <color theme="1"/>
            <rFont val="Calibri"/>
            <family val="2"/>
            <scheme val="minor"/>
          </rPr>
          <t>Veith, Jalen M:
3 ANS</t>
        </r>
      </text>
    </comment>
    <comment ref="BI85" authorId="1" shapeId="0" xr:uid="{650CEBA1-D851-1C45-BE79-CC8DA1C18381}">
      <text>
        <r>
          <rPr>
            <sz val="11"/>
            <color theme="1"/>
            <rFont val="Calibri"/>
            <family val="2"/>
            <scheme val="minor"/>
          </rPr>
          <t>Veith, Jalen M:
1 CBL</t>
        </r>
      </text>
    </comment>
    <comment ref="BJ85" authorId="1" shapeId="0" xr:uid="{6CD3BDFE-9191-3345-9A6E-6F1140DEC923}">
      <text>
        <r>
          <rPr>
            <sz val="11"/>
            <color theme="1"/>
            <rFont val="Calibri"/>
            <family val="2"/>
            <scheme val="minor"/>
          </rPr>
          <t>Veith, Jalen M:
1 CBS</t>
        </r>
      </text>
    </comment>
    <comment ref="BK85" authorId="1" shapeId="0" xr:uid="{C9339DF2-1F7E-FB47-9550-3DE42CBFED6A}">
      <text>
        <r>
          <rPr>
            <sz val="11"/>
            <color theme="1"/>
            <rFont val="Calibri"/>
            <family val="2"/>
            <scheme val="minor"/>
          </rPr>
          <t>Veith, Jalen M:
1 RUS</t>
        </r>
      </text>
    </comment>
    <comment ref="BL85" authorId="1" shapeId="0" xr:uid="{6424104F-7E64-3345-9D94-0B097E20544B}">
      <text>
        <r>
          <rPr>
            <sz val="11"/>
            <color theme="1"/>
            <rFont val="Calibri"/>
            <family val="2"/>
            <scheme val="minor"/>
          </rPr>
          <t>Veith, Jalen M:
1 TUSC</t>
        </r>
      </text>
    </comment>
    <comment ref="AF93" authorId="1" shapeId="0" xr:uid="{2397A3E6-F6CF-9244-99AB-8CA22C8DFB0F}">
      <text>
        <r>
          <rPr>
            <sz val="11"/>
            <color theme="1"/>
            <rFont val="Calibri"/>
            <family val="2"/>
            <scheme val="minor"/>
          </rPr>
          <t>Veith, Jalen M:
Pull 1 INRD From Spare 1</t>
        </r>
      </text>
    </comment>
    <comment ref="AG93" authorId="0" shapeId="0" xr:uid="{4CDD6AA4-3165-6048-96DF-2F4D278B531F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spare tk 1</t>
        </r>
      </text>
    </comment>
    <comment ref="AQ93" authorId="0" shapeId="0" xr:uid="{D9881A6D-0462-644F-9A1B-3CF00B9CA814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5</t>
        </r>
      </text>
    </comment>
    <comment ref="AS93" authorId="0" shapeId="0" xr:uid="{1578DAB7-411F-FC47-9D61-693CB9D0093F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5</t>
        </r>
      </text>
    </comment>
    <comment ref="M97" authorId="1" shapeId="0" xr:uid="{5B19E1AD-2CEE-7B4F-925A-16BBE4088D43}">
      <text>
        <r>
          <rPr>
            <sz val="11"/>
            <color theme="1"/>
            <rFont val="Calibri"/>
            <family val="2"/>
            <scheme val="minor"/>
          </rPr>
          <t>Veith, Jalen M:
Pulled from spare 1</t>
        </r>
      </text>
    </comment>
    <comment ref="P97" authorId="1" shapeId="0" xr:uid="{456769F7-0073-224A-B9DE-3EF161894AEF}">
      <text>
        <r>
          <rPr>
            <sz val="11"/>
            <color theme="1"/>
            <rFont val="Calibri"/>
            <family val="2"/>
            <scheme val="minor"/>
          </rPr>
          <t>Veith, Jalen M:
Pulled from spare 2</t>
        </r>
      </text>
    </comment>
    <comment ref="U97" authorId="1" shapeId="0" xr:uid="{CEF2FAB8-E1BD-ED44-82E7-C6E94BA78AB8}">
      <text>
        <r>
          <rPr>
            <sz val="11"/>
            <color theme="1"/>
            <rFont val="Calibri"/>
            <family val="2"/>
            <scheme val="minor"/>
          </rPr>
          <t>Veith, Jalen M:
Move 1 CLEA To Spare 1</t>
        </r>
      </text>
    </comment>
    <comment ref="AZ97" authorId="1" shapeId="0" xr:uid="{4EA081BC-0FBD-8349-82F5-CB2CD61FDF99}">
      <text>
        <r>
          <rPr>
            <sz val="11"/>
            <color theme="1"/>
            <rFont val="Calibri"/>
            <family val="2"/>
            <scheme val="minor"/>
          </rPr>
          <t>Veith, Jalen M:
Move 3 SEL to Spare 2</t>
        </r>
      </text>
    </comment>
    <comment ref="BH97" authorId="1" shapeId="0" xr:uid="{E8B28645-25E2-4449-9890-93177C3B9C7C}">
      <text>
        <r>
          <rPr>
            <sz val="11"/>
            <color theme="1"/>
            <rFont val="Calibri"/>
            <family val="2"/>
            <scheme val="minor"/>
          </rPr>
          <t>Veith, Jalen M:
1 CLEA</t>
        </r>
      </text>
    </comment>
    <comment ref="BI97" authorId="1" shapeId="0" xr:uid="{9833C970-1363-8742-9A3E-0D23A210F5F6}">
      <text>
        <r>
          <rPr>
            <sz val="11"/>
            <color theme="1"/>
            <rFont val="Calibri"/>
            <family val="2"/>
            <scheme val="minor"/>
          </rPr>
          <t>Veith, Jalen M:
3 SEL</t>
        </r>
      </text>
    </comment>
    <comment ref="Y101" authorId="0" shapeId="0" xr:uid="{CB8338FA-CBC2-4D4C-8891-828D3487F42D}">
      <text>
        <r>
          <rPr>
            <b/>
            <sz val="9"/>
            <color indexed="81"/>
            <rFont val="Tahoma"/>
            <family val="2"/>
          </rPr>
          <t>julia:</t>
        </r>
        <r>
          <rPr>
            <sz val="9"/>
            <color indexed="81"/>
            <rFont val="Tahoma"/>
            <family val="2"/>
          </rPr>
          <t xml:space="preserve">
pulled from sp tk 2</t>
        </r>
      </text>
    </comment>
    <comment ref="AC101" authorId="1" shapeId="0" xr:uid="{872747E0-1DA4-E545-BBAB-BED14A65ACF6}">
      <text>
        <r>
          <rPr>
            <sz val="11"/>
            <color theme="1"/>
            <rFont val="Calibri"/>
            <family val="2"/>
            <scheme val="minor"/>
          </rPr>
          <t>Veith, Jalen M:
Move 1 EVL to Spare 1</t>
        </r>
      </text>
    </comment>
    <comment ref="BD101" authorId="1" shapeId="0" xr:uid="{CD596700-A14B-2948-AE25-065AC471E513}">
      <text>
        <r>
          <rPr>
            <sz val="11"/>
            <color theme="1"/>
            <rFont val="Calibri"/>
            <family val="2"/>
            <scheme val="minor"/>
          </rPr>
          <t>Veith, Jalen M:
Pulled 1 RUS from Spare 5</t>
        </r>
      </text>
    </comment>
    <comment ref="BH101" authorId="1" shapeId="0" xr:uid="{E180F038-5989-3D44-A888-76A28C234BAB}">
      <text>
        <r>
          <rPr>
            <sz val="11"/>
            <color theme="1"/>
            <rFont val="Calibri"/>
            <family val="2"/>
            <scheme val="minor"/>
          </rPr>
          <t>Veith, Jalen M:
1 EVL</t>
        </r>
      </text>
    </comment>
  </commentList>
</comments>
</file>

<file path=xl/sharedStrings.xml><?xml version="1.0" encoding="utf-8"?>
<sst xmlns="http://schemas.openxmlformats.org/spreadsheetml/2006/main" count="1587" uniqueCount="254">
  <si>
    <t xml:space="preserve">Arrival (after hump) </t>
  </si>
  <si>
    <t>Departure</t>
  </si>
  <si>
    <t>t</t>
  </si>
  <si>
    <t>n Cars Arriving</t>
  </si>
  <si>
    <t>Train</t>
  </si>
  <si>
    <t>Time</t>
  </si>
  <si>
    <t>LI26 (116)</t>
  </si>
  <si>
    <t>ITHEST</t>
  </si>
  <si>
    <t>01:00</t>
  </si>
  <si>
    <t>ITHSEL</t>
  </si>
  <si>
    <t>02:00</t>
  </si>
  <si>
    <t>ITHNAS</t>
  </si>
  <si>
    <t>03:30</t>
  </si>
  <si>
    <t>ITHEFI</t>
  </si>
  <si>
    <t>06:00</t>
  </si>
  <si>
    <t>LI27 (82)</t>
  </si>
  <si>
    <t>LO29</t>
  </si>
  <si>
    <t>07:00</t>
  </si>
  <si>
    <t>ITHCHG</t>
  </si>
  <si>
    <t>LO26</t>
  </si>
  <si>
    <t>07:30</t>
  </si>
  <si>
    <t>ITHESU</t>
  </si>
  <si>
    <t>08:30</t>
  </si>
  <si>
    <t>LI76 (54)</t>
  </si>
  <si>
    <t>LO27</t>
  </si>
  <si>
    <t>09:00</t>
  </si>
  <si>
    <t>LO76</t>
  </si>
  <si>
    <t>10:30</t>
  </si>
  <si>
    <t>ITHWIL</t>
  </si>
  <si>
    <t>11:00</t>
  </si>
  <si>
    <t>LO21</t>
  </si>
  <si>
    <t>13:00</t>
  </si>
  <si>
    <t>INRD (51)</t>
  </si>
  <si>
    <t>OLIR</t>
  </si>
  <si>
    <t>14:00</t>
  </si>
  <si>
    <t>ITHCIN</t>
  </si>
  <si>
    <t>ITHCBL</t>
  </si>
  <si>
    <t>14:30</t>
  </si>
  <si>
    <t>ITHWAX</t>
  </si>
  <si>
    <t>16:00</t>
  </si>
  <si>
    <t>NASITH (119)</t>
  </si>
  <si>
    <t>ITHBIR</t>
  </si>
  <si>
    <t>ITHTOL</t>
  </si>
  <si>
    <t>17:00</t>
  </si>
  <si>
    <t>ITHSAU</t>
  </si>
  <si>
    <t>18:00</t>
  </si>
  <si>
    <t>ITHALS</t>
  </si>
  <si>
    <t>20:00</t>
  </si>
  <si>
    <t>LI21 (73)</t>
  </si>
  <si>
    <t>ONRD</t>
  </si>
  <si>
    <t>22:30</t>
  </si>
  <si>
    <t>ITHCBLB</t>
  </si>
  <si>
    <t>ITHDTR</t>
  </si>
  <si>
    <t>23:30</t>
  </si>
  <si>
    <t>ITHRUS</t>
  </si>
  <si>
    <t>TOLITH (26)</t>
  </si>
  <si>
    <t>CHGITH (145)</t>
  </si>
  <si>
    <t>WAXITH (73)</t>
  </si>
  <si>
    <t>RUSITH (95)</t>
  </si>
  <si>
    <t>ESUITH (89)</t>
  </si>
  <si>
    <t>SELITH (82)</t>
  </si>
  <si>
    <t>DTRITH (74)</t>
  </si>
  <si>
    <t>BIRITH (80)</t>
  </si>
  <si>
    <t>SAUITH (96)</t>
  </si>
  <si>
    <t>CINITH (111)</t>
  </si>
  <si>
    <t>LIRC (93)</t>
  </si>
  <si>
    <t>CBLITH (93)</t>
  </si>
  <si>
    <t>WILITH (95)</t>
  </si>
  <si>
    <t>LI29 (81)</t>
  </si>
  <si>
    <t>ESTITH (77)</t>
  </si>
  <si>
    <t>EFIITH (66)</t>
  </si>
  <si>
    <t>CBLITHB (96)</t>
  </si>
  <si>
    <t>ALSITH (54)</t>
  </si>
  <si>
    <t>min</t>
  </si>
  <si>
    <t>max</t>
  </si>
  <si>
    <t>Receiving Yard</t>
  </si>
  <si>
    <t>Hump</t>
  </si>
  <si>
    <t>Block</t>
  </si>
  <si>
    <t>ANS</t>
  </si>
  <si>
    <t>BIR</t>
  </si>
  <si>
    <t>BRO</t>
  </si>
  <si>
    <t>CBL</t>
  </si>
  <si>
    <t>CBS</t>
  </si>
  <si>
    <t>CHBR</t>
  </si>
  <si>
    <t>CHG</t>
  </si>
  <si>
    <t>CIN</t>
  </si>
  <si>
    <t>CLEA</t>
  </si>
  <si>
    <t>CRA</t>
  </si>
  <si>
    <t>DTR</t>
  </si>
  <si>
    <t>EFIM</t>
  </si>
  <si>
    <t>ESAL</t>
  </si>
  <si>
    <t>ESTR</t>
  </si>
  <si>
    <t>ESUK</t>
  </si>
  <si>
    <t>ESUN</t>
  </si>
  <si>
    <t>EVL</t>
  </si>
  <si>
    <t>FFT</t>
  </si>
  <si>
    <t>HOLD</t>
  </si>
  <si>
    <t>INRD</t>
  </si>
  <si>
    <t>INTM</t>
  </si>
  <si>
    <t>INTP</t>
  </si>
  <si>
    <t>LAF</t>
  </si>
  <si>
    <t>LEBN</t>
  </si>
  <si>
    <t>LFNS</t>
  </si>
  <si>
    <t>LICL</t>
  </si>
  <si>
    <t>LIRC</t>
  </si>
  <si>
    <t>MIIL</t>
  </si>
  <si>
    <t>MRN</t>
  </si>
  <si>
    <t>NAS</t>
  </si>
  <si>
    <t>NCR</t>
  </si>
  <si>
    <t>PARA</t>
  </si>
  <si>
    <t>PITS</t>
  </si>
  <si>
    <t>RAMP</t>
  </si>
  <si>
    <t>RIP</t>
  </si>
  <si>
    <t>RLK</t>
  </si>
  <si>
    <t>RUS</t>
  </si>
  <si>
    <t>SAUB</t>
  </si>
  <si>
    <t>SAUH</t>
  </si>
  <si>
    <t>SEL</t>
  </si>
  <si>
    <t>THT</t>
  </si>
  <si>
    <t>THTB</t>
  </si>
  <si>
    <t>TOLS</t>
  </si>
  <si>
    <t>TUSC</t>
  </si>
  <si>
    <t>WALM</t>
  </si>
  <si>
    <t>WAX</t>
  </si>
  <si>
    <t>WIL</t>
  </si>
  <si>
    <t>SPARE 1</t>
  </si>
  <si>
    <t>SPARE 2</t>
  </si>
  <si>
    <t>SPARE 3</t>
  </si>
  <si>
    <t>SPARE 4</t>
  </si>
  <si>
    <t>SPARE 5</t>
  </si>
  <si>
    <t>Pull 1</t>
  </si>
  <si>
    <t>Pull 2</t>
  </si>
  <si>
    <t>Pull 3</t>
  </si>
  <si>
    <t>Pull 4</t>
  </si>
  <si>
    <t>Departure Yard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</si>
  <si>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</si>
  <si>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</si>
  <si>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</si>
  <si>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</si>
  <si>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</si>
  <si>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</si>
  <si>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</si>
  <si>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</si>
  <si>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</si>
  <si>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</si>
  <si>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Track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</si>
  <si>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</si>
  <si>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</si>
  <si>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</si>
  <si>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</si>
  <si>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</si>
  <si>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</si>
  <si>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</si>
  <si>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</si>
  <si>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</si>
  <si>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</si>
  <si>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</si>
  <si>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</si>
  <si>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Capy</t>
  </si>
  <si>
    <t>SUM</t>
  </si>
  <si>
    <t>Carry</t>
  </si>
  <si>
    <t>TIME</t>
  </si>
  <si>
    <t>C (3)</t>
  </si>
  <si>
    <t>ITHNAS (Pull EVL, NAS)</t>
  </si>
  <si>
    <t>Pull 3 from sp tk 3 to LAF</t>
  </si>
  <si>
    <t xml:space="preserve">Pull RIP </t>
  </si>
  <si>
    <t>C (1)</t>
  </si>
  <si>
    <t>Pull 2  from sp tk 1 to  CLEA/EVL</t>
  </si>
  <si>
    <t>Pull from spare tk 4 to RUS</t>
  </si>
  <si>
    <t>Pull HOLD</t>
  </si>
  <si>
    <t>ITHEFI (Pull EFIM)</t>
  </si>
  <si>
    <t>Pull 1  from sp tk 4 to  TOLS</t>
  </si>
  <si>
    <t>Pull 1  from sp tk 3 to  CBS</t>
  </si>
  <si>
    <t>ITHEFI (35)</t>
  </si>
  <si>
    <t>LO29 (Pull INTM, INTP)</t>
  </si>
  <si>
    <t>ITHCHG (Pull CHG, CHBR)</t>
  </si>
  <si>
    <t>LO29 (78)</t>
  </si>
  <si>
    <t>ITHCHG (121)</t>
  </si>
  <si>
    <t>LO26 (Pull CRA, LFNS, LAF)</t>
  </si>
  <si>
    <t>LO26 (128)</t>
  </si>
  <si>
    <t>LO28</t>
  </si>
  <si>
    <t>ITHESU (Pull ESUK, ESUN)</t>
  </si>
  <si>
    <t>LO25</t>
  </si>
  <si>
    <t>ITHESU (94)</t>
  </si>
  <si>
    <t>LO27 (Pull BRO, PITS, NCR)</t>
  </si>
  <si>
    <t>LO727 (76)</t>
  </si>
  <si>
    <t>LO727</t>
  </si>
  <si>
    <t>Pull 3 from spare tk 4 to EUSK</t>
  </si>
  <si>
    <t>LO726</t>
  </si>
  <si>
    <t>LO76 (Pull LEBN, FFT)</t>
  </si>
  <si>
    <t>LO76 (38)</t>
  </si>
  <si>
    <t>ITHWIL (Pull MRN, WIL)</t>
  </si>
  <si>
    <t>Pull 3 from sp tk 2 to CHBR/CHG</t>
  </si>
  <si>
    <t>ITHWIL (95)</t>
  </si>
  <si>
    <t>LO74</t>
  </si>
  <si>
    <t>LO75</t>
  </si>
  <si>
    <t>Pull 3 from sp tk 2 to SEL</t>
  </si>
  <si>
    <t>LO21 (Pull MIIL, THTB, THT)</t>
  </si>
  <si>
    <t>LO21 (63)</t>
  </si>
  <si>
    <t>ITHCIN (Pull CIN)</t>
  </si>
  <si>
    <t>OLIR (Pull LIRC, LICL)</t>
  </si>
  <si>
    <t>OLIR (39)</t>
  </si>
  <si>
    <t>ITHCIN (123)</t>
  </si>
  <si>
    <t>ITHCBL (Pull ANS, CBL)</t>
  </si>
  <si>
    <t>ITHCBL (99)</t>
  </si>
  <si>
    <t>ITHWAX (Pull WAX)</t>
  </si>
  <si>
    <t>ITHBIR (Pull BIR)</t>
  </si>
  <si>
    <t>Pull from sp tk 4 to THT</t>
  </si>
  <si>
    <t>ITHWAX (57)</t>
  </si>
  <si>
    <t>ITHBIR (83)</t>
  </si>
  <si>
    <t>C (2)</t>
  </si>
  <si>
    <t>Pull 2 from sp tk 4 to WAX</t>
  </si>
  <si>
    <t>Pull 5 from sp tk 1 to BIR</t>
  </si>
  <si>
    <t>ITHTOL (Pull WALM, TOLS)</t>
  </si>
  <si>
    <t>ITHTOL (75)</t>
  </si>
  <si>
    <t>ITHSAU (Pull SAUH, SAUB)</t>
  </si>
  <si>
    <t>ITHSAU (114)</t>
  </si>
  <si>
    <t>C (9)</t>
  </si>
  <si>
    <t>Pull 9 from sp tk 2 to CIN</t>
  </si>
  <si>
    <t>C (6)</t>
  </si>
  <si>
    <t>C (8)</t>
  </si>
  <si>
    <t>Pull 8 from sp tk 2 to MRN/WIL</t>
  </si>
  <si>
    <t>ITHHALS (Pull ESAL)</t>
  </si>
  <si>
    <t>Pull 6 from sp tk 1 to LIRC/LICL</t>
  </si>
  <si>
    <t>ITHALS (72)</t>
  </si>
  <si>
    <t>Pull 1 from sp tk 3 to ANS</t>
  </si>
  <si>
    <t>ONRD (Pull INRD)</t>
  </si>
  <si>
    <t>ONRD (48)</t>
  </si>
  <si>
    <t>ITHCBLB (Pull ANS, CBL, RAMP)</t>
  </si>
  <si>
    <t>ITHCBLB (43)</t>
  </si>
  <si>
    <t>ITHDTR (Pull TUSC, DTR)</t>
  </si>
  <si>
    <t>ITHDTR (57)</t>
  </si>
  <si>
    <t>ITHRUS (Pull CBS, RUS)</t>
  </si>
  <si>
    <t>ITHRUS (120)</t>
  </si>
  <si>
    <t>ITHEST (Pull RLK, ESTR)</t>
  </si>
  <si>
    <t>Pull 2 from sp tk 1 to INTM/INRD</t>
  </si>
  <si>
    <t xml:space="preserve">Pull from sp tk 5 to NCR/PITS </t>
  </si>
  <si>
    <t>ITHEST (120)</t>
  </si>
  <si>
    <t>ITHSEL (Pull PARA, CLEA, SEL)</t>
  </si>
  <si>
    <t>Pull 3 from sp tk 1 to ANS</t>
  </si>
  <si>
    <t>Pull 1 from sp tk 2 to CBL</t>
  </si>
  <si>
    <t>ITHSEL (97)</t>
  </si>
  <si>
    <t>Pull 1 from sp tk 2 to ESAL</t>
  </si>
  <si>
    <t xml:space="preserve">Pull 1 from sp tk 5 to TUSC </t>
  </si>
  <si>
    <t>ITHNAS (143)</t>
  </si>
  <si>
    <t>Daily Traffic</t>
  </si>
  <si>
    <t>To Do</t>
  </si>
  <si>
    <t>Add pull for spare tk</t>
  </si>
  <si>
    <t>Check if spare tracks can have multiple blocks</t>
  </si>
  <si>
    <t>Double check carry over</t>
  </si>
  <si>
    <t>Recalculate pull values</t>
  </si>
  <si>
    <t>Add car count to departing trains</t>
  </si>
  <si>
    <t>Combine blocks</t>
  </si>
  <si>
    <t>Determine length of block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</si>
</sst>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_);\(0\)"/>
    <numFmt numFmtId="166" formatCode="0.00_);\(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164" fontId="2" fillId="3" borderId="4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164" fontId="2" fillId="3" borderId="6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164" fontId="2" fillId="0" borderId="8" xfId="0" applyNumberFormat="1" applyFont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3" fillId="4" borderId="36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6" borderId="45" xfId="0" applyFill="1" applyBorder="1"/>
    <xf numFmtId="0" fontId="2" fillId="0" borderId="46" xfId="0" applyFont="1" applyBorder="1" applyAlignment="1">
      <alignment horizontal="center"/>
    </xf>
    <xf numFmtId="0" fontId="0" fillId="5" borderId="46" xfId="0" applyFill="1" applyBorder="1"/>
    <xf numFmtId="0" fontId="0" fillId="6" borderId="46" xfId="0" applyFill="1" applyBorder="1"/>
    <xf numFmtId="0" fontId="0" fillId="0" borderId="47" xfId="0" applyBorder="1"/>
    <xf numFmtId="164" fontId="2" fillId="3" borderId="48" xfId="0" applyNumberFormat="1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165" fontId="2" fillId="3" borderId="44" xfId="0" applyNumberFormat="1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0" fillId="0" borderId="52" xfId="0" applyBorder="1"/>
    <xf numFmtId="164" fontId="2" fillId="3" borderId="53" xfId="0" applyNumberFormat="1" applyFont="1" applyFill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64" fontId="2" fillId="0" borderId="53" xfId="0" applyNumberFormat="1" applyFont="1" applyBorder="1" applyAlignment="1">
      <alignment horizontal="center"/>
    </xf>
    <xf numFmtId="165" fontId="2" fillId="0" borderId="44" xfId="0" applyNumberFormat="1" applyFont="1" applyBorder="1" applyAlignment="1">
      <alignment horizontal="center"/>
    </xf>
    <xf numFmtId="165" fontId="0" fillId="0" borderId="44" xfId="0" applyNumberFormat="1" applyBorder="1" applyAlignment="1">
      <alignment horizontal="center"/>
    </xf>
    <xf numFmtId="0" fontId="2" fillId="6" borderId="54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0" fillId="0" borderId="46" xfId="0" applyBorder="1"/>
    <xf numFmtId="0" fontId="2" fillId="7" borderId="44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2" fillId="0" borderId="52" xfId="0" applyFont="1" applyBorder="1" applyAlignment="1">
      <alignment horizontal="left"/>
    </xf>
    <xf numFmtId="165" fontId="0" fillId="3" borderId="44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54" xfId="0" applyBorder="1" applyAlignment="1">
      <alignment horizontal="center"/>
    </xf>
    <xf numFmtId="0" fontId="0" fillId="0" borderId="44" xfId="0" applyBorder="1"/>
    <xf numFmtId="0" fontId="0" fillId="5" borderId="45" xfId="0" applyFill="1" applyBorder="1"/>
    <xf numFmtId="0" fontId="0" fillId="6" borderId="5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5" xfId="0" applyBorder="1"/>
    <xf numFmtId="166" fontId="0" fillId="0" borderId="44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6" borderId="57" xfId="0" applyFill="1" applyBorder="1"/>
    <xf numFmtId="0" fontId="0" fillId="0" borderId="58" xfId="0" applyBorder="1"/>
    <xf numFmtId="0" fontId="0" fillId="5" borderId="58" xfId="0" applyFill="1" applyBorder="1"/>
    <xf numFmtId="0" fontId="0" fillId="6" borderId="58" xfId="0" applyFill="1" applyBorder="1"/>
    <xf numFmtId="0" fontId="0" fillId="0" borderId="59" xfId="0" applyBorder="1"/>
    <xf numFmtId="164" fontId="2" fillId="0" borderId="60" xfId="0" applyNumberFormat="1" applyFont="1" applyBorder="1" applyAlignment="1">
      <alignment horizontal="center"/>
    </xf>
    <xf numFmtId="165" fontId="0" fillId="0" borderId="56" xfId="0" applyNumberFormat="1" applyBorder="1" applyAlignment="1">
      <alignment horizontal="center"/>
    </xf>
    <xf numFmtId="0" fontId="0" fillId="0" borderId="56" xfId="0" applyBorder="1"/>
    <xf numFmtId="0" fontId="0" fillId="0" borderId="6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0" xfId="0" applyBorder="1"/>
    <xf numFmtId="0" fontId="0" fillId="6" borderId="62" xfId="0" applyFill="1" applyBorder="1"/>
    <xf numFmtId="0" fontId="0" fillId="5" borderId="63" xfId="0" applyFill="1" applyBorder="1"/>
    <xf numFmtId="0" fontId="0" fillId="6" borderId="0" xfId="0" applyFill="1"/>
    <xf numFmtId="0" fontId="0" fillId="5" borderId="0" xfId="0" applyFill="1"/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4" borderId="2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textRotation="135"/>
    </xf>
    <xf numFmtId="0" fontId="3" fillId="4" borderId="22" xfId="0" applyFont="1" applyFill="1" applyBorder="1" applyAlignment="1">
      <alignment horizontal="center" vertical="center" textRotation="135"/>
    </xf>
    <xf numFmtId="0" fontId="3" fillId="4" borderId="35" xfId="0" applyFont="1" applyFill="1" applyBorder="1" applyAlignment="1">
      <alignment horizontal="center" vertical="center" textRotation="135"/>
    </xf>
    <xf numFmtId="0" fontId="3" fillId="4" borderId="17" xfId="0" applyFont="1" applyFill="1" applyBorder="1" applyAlignment="1">
      <alignment horizontal="center" vertical="center" textRotation="135" wrapText="1"/>
    </xf>
    <xf numFmtId="0" fontId="3" fillId="4" borderId="24" xfId="0" applyFont="1" applyFill="1" applyBorder="1" applyAlignment="1">
      <alignment horizontal="center" vertical="center" textRotation="135" wrapText="1"/>
    </xf>
    <xf numFmtId="0" fontId="3" fillId="4" borderId="39" xfId="0" applyFont="1" applyFill="1" applyBorder="1" applyAlignment="1">
      <alignment horizontal="center" vertical="center" textRotation="135" wrapText="1"/>
    </xf>
    <xf numFmtId="0" fontId="3" fillId="4" borderId="18" xfId="0" applyFont="1" applyFill="1" applyBorder="1" applyAlignment="1">
      <alignment horizontal="center" vertical="center" textRotation="135" wrapText="1"/>
    </xf>
    <xf numFmtId="0" fontId="3" fillId="4" borderId="25" xfId="0" applyFont="1" applyFill="1" applyBorder="1" applyAlignment="1">
      <alignment horizontal="center" vertical="center" textRotation="135" wrapText="1"/>
    </xf>
    <xf numFmtId="0" fontId="3" fillId="4" borderId="40" xfId="0" applyFont="1" applyFill="1" applyBorder="1" applyAlignment="1">
      <alignment horizontal="center" vertical="center" textRotation="135" wrapText="1"/>
    </xf>
    <xf numFmtId="0" fontId="3" fillId="4" borderId="19" xfId="0" applyFont="1" applyFill="1" applyBorder="1" applyAlignment="1">
      <alignment horizontal="center" vertical="center" textRotation="135" wrapText="1"/>
    </xf>
    <xf numFmtId="0" fontId="3" fillId="4" borderId="26" xfId="0" applyFont="1" applyFill="1" applyBorder="1" applyAlignment="1">
      <alignment horizontal="center" vertical="center" textRotation="135" wrapText="1"/>
    </xf>
    <xf numFmtId="0" fontId="3" fillId="4" borderId="41" xfId="0" applyFont="1" applyFill="1" applyBorder="1" applyAlignment="1">
      <alignment horizontal="center" vertical="center" textRotation="13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ith, Jalen M" id="{BF36C5ED-C362-9043-80BA-ED28630A1CB5}" userId="S::jmv3446@eid.utexas.edu::e2ab4489-8e1d-4467-bc9f-691449295f4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85" dT="2025-10-06T03:08:51.33" personId="{BF36C5ED-C362-9043-80BA-ED28630A1CB5}" id="{6A14E792-72E7-0644-B830-7AD01A5545B5}">
    <text>Move 3 ANS to Spare 1</text>
  </threadedComment>
  <threadedComment ref="P85" dT="2025-10-06T03:09:14.98" personId="{BF36C5ED-C362-9043-80BA-ED28630A1CB5}" id="{953FF23A-E7E9-2641-BF99-1FAE874775B4}">
    <text>Move 1 CBL to Spare 2</text>
  </threadedComment>
  <threadedComment ref="Q85" dT="2025-10-06T03:09:36.41" personId="{BF36C5ED-C362-9043-80BA-ED28630A1CB5}" id="{BDDBC191-F911-094E-A177-DD55C7B33597}">
    <text>Move 1 CBS to Spare 3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1575-A1B1-4644-8E6D-BFE4EAC5DD34}">
  <dimension ref="C1:K105"/>
  <sheetViews>
    <sheetView topLeftCell="A2" workbookViewId="0">
      <selection activeCell="A7" sqref="A7:XFD7"/>
    </sheetView>
  </sheetViews>
  <sheetFormatPr baseColWidth="10" defaultColWidth="8.83203125" defaultRowHeight="15" x14ac:dyDescent="0.2"/>
  <cols>
    <col min="4" max="4" width="12" bestFit="1" customWidth="1"/>
  </cols>
  <sheetData>
    <row r="1" spans="3:11" x14ac:dyDescent="0.2">
      <c r="D1" s="1"/>
    </row>
    <row r="2" spans="3:11" ht="16" thickBot="1" x14ac:dyDescent="0.25">
      <c r="D2" s="1"/>
      <c r="G2" s="125" t="s">
        <v>0</v>
      </c>
      <c r="H2" s="125"/>
      <c r="J2" s="125" t="s">
        <v>1</v>
      </c>
      <c r="K2" s="125"/>
    </row>
    <row r="3" spans="3:11" ht="16" thickBot="1" x14ac:dyDescent="0.25">
      <c r="C3" s="2" t="s">
        <v>2</v>
      </c>
      <c r="D3" s="3" t="s">
        <v>3</v>
      </c>
      <c r="G3" s="4" t="s">
        <v>4</v>
      </c>
      <c r="H3" s="5" t="s">
        <v>5</v>
      </c>
      <c r="J3" s="4" t="s">
        <v>4</v>
      </c>
      <c r="K3" s="5" t="s">
        <v>5</v>
      </c>
    </row>
    <row r="4" spans="3:11" x14ac:dyDescent="0.2">
      <c r="C4" s="6">
        <v>0</v>
      </c>
      <c r="D4" s="7"/>
      <c r="G4" s="8" t="s">
        <v>6</v>
      </c>
      <c r="H4" s="9">
        <v>0</v>
      </c>
      <c r="J4" s="10" t="s">
        <v>7</v>
      </c>
      <c r="K4" s="7" t="s">
        <v>8</v>
      </c>
    </row>
    <row r="5" spans="3:11" x14ac:dyDescent="0.2">
      <c r="C5" s="11">
        <v>1.0416666666666666E-2</v>
      </c>
      <c r="D5" s="12"/>
      <c r="G5" s="13" t="s">
        <v>6</v>
      </c>
      <c r="H5" s="14">
        <v>1.0416666666666666E-2</v>
      </c>
      <c r="J5" s="15" t="s">
        <v>9</v>
      </c>
      <c r="K5" s="12" t="s">
        <v>10</v>
      </c>
    </row>
    <row r="6" spans="3:11" x14ac:dyDescent="0.2">
      <c r="C6" s="11">
        <v>2.0833333333333332E-2</v>
      </c>
      <c r="D6" s="12"/>
      <c r="G6" s="13" t="s">
        <v>6</v>
      </c>
      <c r="H6" s="14">
        <v>2.0833333333333332E-2</v>
      </c>
      <c r="J6" s="15" t="s">
        <v>11</v>
      </c>
      <c r="K6" s="12" t="s">
        <v>12</v>
      </c>
    </row>
    <row r="7" spans="3:11" x14ac:dyDescent="0.2">
      <c r="C7" s="11">
        <v>3.125E-2</v>
      </c>
      <c r="D7" s="12">
        <v>119</v>
      </c>
      <c r="G7" s="13" t="s">
        <v>6</v>
      </c>
      <c r="H7" s="14">
        <v>3.125E-2</v>
      </c>
      <c r="J7" s="15" t="s">
        <v>13</v>
      </c>
      <c r="K7" s="12" t="s">
        <v>14</v>
      </c>
    </row>
    <row r="8" spans="3:11" x14ac:dyDescent="0.2">
      <c r="C8" s="16">
        <v>4.1666666666666699E-2</v>
      </c>
      <c r="D8" s="12"/>
      <c r="G8" s="13" t="s">
        <v>15</v>
      </c>
      <c r="H8" s="17">
        <v>4.1666666666666699E-2</v>
      </c>
      <c r="J8" s="15" t="s">
        <v>16</v>
      </c>
      <c r="K8" s="12" t="s">
        <v>17</v>
      </c>
    </row>
    <row r="9" spans="3:11" x14ac:dyDescent="0.2">
      <c r="C9" s="16">
        <v>5.2083333333333301E-2</v>
      </c>
      <c r="D9" s="12"/>
      <c r="G9" s="13" t="s">
        <v>15</v>
      </c>
      <c r="H9" s="17">
        <v>5.2083333333333301E-2</v>
      </c>
      <c r="J9" s="15" t="s">
        <v>18</v>
      </c>
      <c r="K9" s="12" t="s">
        <v>17</v>
      </c>
    </row>
    <row r="10" spans="3:11" x14ac:dyDescent="0.2">
      <c r="C10" s="16">
        <v>6.25E-2</v>
      </c>
      <c r="D10" s="12"/>
      <c r="G10" s="13" t="s">
        <v>15</v>
      </c>
      <c r="H10" s="17">
        <v>6.25E-2</v>
      </c>
      <c r="J10" s="15" t="s">
        <v>19</v>
      </c>
      <c r="K10" s="12" t="s">
        <v>20</v>
      </c>
    </row>
    <row r="11" spans="3:11" x14ac:dyDescent="0.2">
      <c r="C11" s="16">
        <v>7.2916666666666699E-2</v>
      </c>
      <c r="D11" s="12">
        <v>85</v>
      </c>
      <c r="G11" s="13" t="s">
        <v>15</v>
      </c>
      <c r="H11" s="17">
        <v>7.2916666666666699E-2</v>
      </c>
      <c r="J11" s="15" t="s">
        <v>21</v>
      </c>
      <c r="K11" s="12" t="s">
        <v>22</v>
      </c>
    </row>
    <row r="12" spans="3:11" x14ac:dyDescent="0.2">
      <c r="C12" s="11">
        <v>8.3333333333333301E-2</v>
      </c>
      <c r="D12" s="12"/>
      <c r="G12" s="13" t="s">
        <v>23</v>
      </c>
      <c r="H12" s="14">
        <v>8.3333333333333301E-2</v>
      </c>
      <c r="J12" s="15" t="s">
        <v>24</v>
      </c>
      <c r="K12" s="12" t="s">
        <v>25</v>
      </c>
    </row>
    <row r="13" spans="3:11" x14ac:dyDescent="0.2">
      <c r="C13" s="11">
        <v>9.375E-2</v>
      </c>
      <c r="D13" s="12"/>
      <c r="G13" s="13" t="s">
        <v>23</v>
      </c>
      <c r="H13" s="14">
        <v>9.375E-2</v>
      </c>
      <c r="J13" s="15" t="s">
        <v>26</v>
      </c>
      <c r="K13" s="12" t="s">
        <v>27</v>
      </c>
    </row>
    <row r="14" spans="3:11" x14ac:dyDescent="0.2">
      <c r="C14" s="11">
        <v>0.104166666666667</v>
      </c>
      <c r="D14" s="12"/>
      <c r="G14" s="13" t="s">
        <v>23</v>
      </c>
      <c r="H14" s="14">
        <v>0.104166666666667</v>
      </c>
      <c r="J14" s="15" t="s">
        <v>28</v>
      </c>
      <c r="K14" s="12" t="s">
        <v>29</v>
      </c>
    </row>
    <row r="15" spans="3:11" x14ac:dyDescent="0.2">
      <c r="C15" s="11">
        <v>0.114583333333333</v>
      </c>
      <c r="D15" s="12">
        <v>56</v>
      </c>
      <c r="G15" s="13" t="s">
        <v>23</v>
      </c>
      <c r="H15" s="14">
        <v>0.114583333333333</v>
      </c>
      <c r="J15" s="15" t="s">
        <v>30</v>
      </c>
      <c r="K15" s="12" t="s">
        <v>31</v>
      </c>
    </row>
    <row r="16" spans="3:11" x14ac:dyDescent="0.2">
      <c r="C16" s="16">
        <v>0.125</v>
      </c>
      <c r="D16" s="12"/>
      <c r="G16" s="13" t="s">
        <v>32</v>
      </c>
      <c r="H16" s="17">
        <v>0.125</v>
      </c>
      <c r="J16" s="15" t="s">
        <v>33</v>
      </c>
      <c r="K16" s="12" t="s">
        <v>34</v>
      </c>
    </row>
    <row r="17" spans="3:11" x14ac:dyDescent="0.2">
      <c r="C17" s="16">
        <v>0.13541666666666699</v>
      </c>
      <c r="D17" s="12"/>
      <c r="G17" s="13" t="s">
        <v>32</v>
      </c>
      <c r="H17" s="17">
        <v>0.13541666666666699</v>
      </c>
      <c r="J17" s="15" t="s">
        <v>35</v>
      </c>
      <c r="K17" s="12" t="s">
        <v>34</v>
      </c>
    </row>
    <row r="18" spans="3:11" x14ac:dyDescent="0.2">
      <c r="C18" s="16">
        <v>0.14583333333333301</v>
      </c>
      <c r="D18" s="12"/>
      <c r="G18" s="13" t="s">
        <v>32</v>
      </c>
      <c r="H18" s="17">
        <v>0.14583333333333301</v>
      </c>
      <c r="J18" s="15" t="s">
        <v>36</v>
      </c>
      <c r="K18" s="12" t="s">
        <v>37</v>
      </c>
    </row>
    <row r="19" spans="3:11" x14ac:dyDescent="0.2">
      <c r="C19" s="16">
        <v>0.15625</v>
      </c>
      <c r="D19" s="12">
        <v>51</v>
      </c>
      <c r="G19" s="13" t="s">
        <v>32</v>
      </c>
      <c r="H19" s="17">
        <v>0.15625</v>
      </c>
      <c r="J19" s="15" t="s">
        <v>38</v>
      </c>
      <c r="K19" s="12" t="s">
        <v>39</v>
      </c>
    </row>
    <row r="20" spans="3:11" x14ac:dyDescent="0.2">
      <c r="C20" s="11">
        <v>0.16666666666666699</v>
      </c>
      <c r="D20" s="12"/>
      <c r="G20" s="13" t="s">
        <v>40</v>
      </c>
      <c r="H20" s="14">
        <v>0.16666666666666699</v>
      </c>
      <c r="J20" s="15" t="s">
        <v>41</v>
      </c>
      <c r="K20" s="12" t="s">
        <v>39</v>
      </c>
    </row>
    <row r="21" spans="3:11" x14ac:dyDescent="0.2">
      <c r="C21" s="11">
        <v>0.17708333333333301</v>
      </c>
      <c r="D21" s="12"/>
      <c r="G21" s="13" t="s">
        <v>40</v>
      </c>
      <c r="H21" s="14">
        <v>0.17708333333333301</v>
      </c>
      <c r="J21" s="15" t="s">
        <v>42</v>
      </c>
      <c r="K21" s="12" t="s">
        <v>43</v>
      </c>
    </row>
    <row r="22" spans="3:11" x14ac:dyDescent="0.2">
      <c r="C22" s="11">
        <v>0.1875</v>
      </c>
      <c r="D22" s="12"/>
      <c r="G22" s="13" t="s">
        <v>40</v>
      </c>
      <c r="H22" s="14">
        <v>0.1875</v>
      </c>
      <c r="J22" s="15" t="s">
        <v>44</v>
      </c>
      <c r="K22" s="12" t="s">
        <v>45</v>
      </c>
    </row>
    <row r="23" spans="3:11" x14ac:dyDescent="0.2">
      <c r="C23" s="11">
        <v>0.19791666666666699</v>
      </c>
      <c r="D23" s="12">
        <v>119</v>
      </c>
      <c r="G23" s="13" t="s">
        <v>40</v>
      </c>
      <c r="H23" s="14">
        <v>0.19791666666666699</v>
      </c>
      <c r="J23" s="15" t="s">
        <v>46</v>
      </c>
      <c r="K23" s="12" t="s">
        <v>47</v>
      </c>
    </row>
    <row r="24" spans="3:11" x14ac:dyDescent="0.2">
      <c r="C24" s="16">
        <v>0.20833333333333301</v>
      </c>
      <c r="D24" s="12"/>
      <c r="G24" s="13" t="s">
        <v>48</v>
      </c>
      <c r="H24" s="17">
        <v>0.20833333333333301</v>
      </c>
      <c r="J24" s="15" t="s">
        <v>49</v>
      </c>
      <c r="K24" s="12" t="s">
        <v>50</v>
      </c>
    </row>
    <row r="25" spans="3:11" x14ac:dyDescent="0.2">
      <c r="C25" s="16">
        <v>0.21875</v>
      </c>
      <c r="D25" s="12"/>
      <c r="G25" s="13" t="s">
        <v>48</v>
      </c>
      <c r="H25" s="17">
        <v>0.21875</v>
      </c>
      <c r="J25" s="15" t="s">
        <v>51</v>
      </c>
      <c r="K25" s="18">
        <v>0.95833333333333337</v>
      </c>
    </row>
    <row r="26" spans="3:11" x14ac:dyDescent="0.2">
      <c r="C26" s="16">
        <v>0.22916666666666699</v>
      </c>
      <c r="D26" s="12"/>
      <c r="G26" s="13" t="s">
        <v>48</v>
      </c>
      <c r="H26" s="17">
        <v>0.22916666666666699</v>
      </c>
      <c r="J26" s="15" t="s">
        <v>52</v>
      </c>
      <c r="K26" s="12" t="s">
        <v>53</v>
      </c>
    </row>
    <row r="27" spans="3:11" ht="16" thickBot="1" x14ac:dyDescent="0.25">
      <c r="C27" s="16">
        <v>0.23958333333333301</v>
      </c>
      <c r="D27" s="12">
        <v>73</v>
      </c>
      <c r="G27" s="13" t="s">
        <v>48</v>
      </c>
      <c r="H27" s="17">
        <v>0.23958333333333301</v>
      </c>
      <c r="J27" s="19" t="s">
        <v>54</v>
      </c>
      <c r="K27" s="20">
        <v>0.98958333333333337</v>
      </c>
    </row>
    <row r="28" spans="3:11" x14ac:dyDescent="0.2">
      <c r="C28" s="11">
        <v>0.25</v>
      </c>
      <c r="D28" s="12"/>
      <c r="G28" s="21" t="s">
        <v>55</v>
      </c>
      <c r="H28" s="14">
        <v>0.25</v>
      </c>
    </row>
    <row r="29" spans="3:11" x14ac:dyDescent="0.2">
      <c r="C29" s="11">
        <v>0.26041666666666702</v>
      </c>
      <c r="D29" s="12"/>
      <c r="G29" s="21" t="s">
        <v>55</v>
      </c>
      <c r="H29" s="14">
        <v>0.26041666666666702</v>
      </c>
    </row>
    <row r="30" spans="3:11" x14ac:dyDescent="0.2">
      <c r="C30" s="11">
        <v>0.27083333333333298</v>
      </c>
      <c r="D30" s="12"/>
      <c r="G30" s="21" t="s">
        <v>55</v>
      </c>
      <c r="H30" s="14">
        <v>0.27083333333333298</v>
      </c>
    </row>
    <row r="31" spans="3:11" x14ac:dyDescent="0.2">
      <c r="C31" s="11">
        <v>0.28125</v>
      </c>
      <c r="D31" s="12">
        <v>29</v>
      </c>
      <c r="G31" s="21" t="s">
        <v>55</v>
      </c>
      <c r="H31" s="14">
        <v>0.28125</v>
      </c>
    </row>
    <row r="32" spans="3:11" x14ac:dyDescent="0.2">
      <c r="C32" s="16">
        <v>0.29166666666666702</v>
      </c>
      <c r="D32" s="12"/>
      <c r="G32" s="13" t="s">
        <v>56</v>
      </c>
      <c r="H32" s="17">
        <v>0.29166666666666702</v>
      </c>
    </row>
    <row r="33" spans="3:8" x14ac:dyDescent="0.2">
      <c r="C33" s="16">
        <v>0.30208333333333298</v>
      </c>
      <c r="D33" s="12"/>
      <c r="G33" s="13" t="s">
        <v>56</v>
      </c>
      <c r="H33" s="17">
        <v>0.30208333333333298</v>
      </c>
    </row>
    <row r="34" spans="3:8" x14ac:dyDescent="0.2">
      <c r="C34" s="16">
        <v>0.3125</v>
      </c>
      <c r="D34" s="12"/>
      <c r="G34" s="13" t="s">
        <v>56</v>
      </c>
      <c r="H34" s="17">
        <v>0.3125</v>
      </c>
    </row>
    <row r="35" spans="3:8" x14ac:dyDescent="0.2">
      <c r="C35" s="16">
        <v>0.32291666666666702</v>
      </c>
      <c r="D35" s="12">
        <v>148</v>
      </c>
      <c r="G35" s="13" t="s">
        <v>56</v>
      </c>
      <c r="H35" s="17">
        <v>0.32291666666666702</v>
      </c>
    </row>
    <row r="36" spans="3:8" x14ac:dyDescent="0.2">
      <c r="C36" s="11">
        <v>0.33333333333333298</v>
      </c>
      <c r="D36" s="12"/>
      <c r="G36" s="13" t="s">
        <v>57</v>
      </c>
      <c r="H36" s="14">
        <v>0.33333333333333298</v>
      </c>
    </row>
    <row r="37" spans="3:8" x14ac:dyDescent="0.2">
      <c r="C37" s="11">
        <v>0.34375</v>
      </c>
      <c r="D37" s="12"/>
      <c r="G37" s="13" t="s">
        <v>57</v>
      </c>
      <c r="H37" s="14">
        <v>0.34375</v>
      </c>
    </row>
    <row r="38" spans="3:8" x14ac:dyDescent="0.2">
      <c r="C38" s="11">
        <v>0.35416666666666702</v>
      </c>
      <c r="D38" s="12"/>
      <c r="G38" s="13" t="s">
        <v>57</v>
      </c>
      <c r="H38" s="14">
        <v>0.35416666666666702</v>
      </c>
    </row>
    <row r="39" spans="3:8" x14ac:dyDescent="0.2">
      <c r="C39" s="11">
        <v>0.36458333333333298</v>
      </c>
      <c r="D39" s="12">
        <v>76</v>
      </c>
      <c r="G39" s="13" t="s">
        <v>57</v>
      </c>
      <c r="H39" s="14">
        <v>0.36458333333333298</v>
      </c>
    </row>
    <row r="40" spans="3:8" x14ac:dyDescent="0.2">
      <c r="C40" s="16">
        <v>0.375</v>
      </c>
      <c r="D40" s="12"/>
      <c r="G40" s="13" t="s">
        <v>58</v>
      </c>
      <c r="H40" s="17">
        <v>0.375</v>
      </c>
    </row>
    <row r="41" spans="3:8" x14ac:dyDescent="0.2">
      <c r="C41" s="16">
        <v>0.38541666666666702</v>
      </c>
      <c r="D41" s="12"/>
      <c r="G41" s="13" t="s">
        <v>58</v>
      </c>
      <c r="H41" s="17">
        <v>0.38541666666666702</v>
      </c>
    </row>
    <row r="42" spans="3:8" x14ac:dyDescent="0.2">
      <c r="C42" s="16">
        <v>0.39583333333333298</v>
      </c>
      <c r="D42" s="12"/>
      <c r="G42" s="13" t="s">
        <v>58</v>
      </c>
      <c r="H42" s="17">
        <v>0.39583333333333298</v>
      </c>
    </row>
    <row r="43" spans="3:8" x14ac:dyDescent="0.2">
      <c r="C43" s="16">
        <v>0.40625</v>
      </c>
      <c r="D43" s="12">
        <v>94</v>
      </c>
      <c r="G43" s="13" t="s">
        <v>58</v>
      </c>
      <c r="H43" s="17">
        <v>0.40625</v>
      </c>
    </row>
    <row r="44" spans="3:8" x14ac:dyDescent="0.2">
      <c r="C44" s="11">
        <v>0.41666666666666702</v>
      </c>
      <c r="D44" s="12"/>
      <c r="G44" s="13" t="s">
        <v>59</v>
      </c>
      <c r="H44" s="14">
        <v>0.41666666666666702</v>
      </c>
    </row>
    <row r="45" spans="3:8" x14ac:dyDescent="0.2">
      <c r="C45" s="11">
        <v>0.42708333333333298</v>
      </c>
      <c r="D45" s="12"/>
      <c r="G45" s="13" t="s">
        <v>59</v>
      </c>
      <c r="H45" s="14">
        <v>0.42708333333333298</v>
      </c>
    </row>
    <row r="46" spans="3:8" x14ac:dyDescent="0.2">
      <c r="C46" s="11">
        <v>0.4375</v>
      </c>
      <c r="D46" s="12"/>
      <c r="G46" s="13" t="s">
        <v>59</v>
      </c>
      <c r="H46" s="14">
        <v>0.4375</v>
      </c>
    </row>
    <row r="47" spans="3:8" x14ac:dyDescent="0.2">
      <c r="C47" s="11">
        <v>0.44791666666666702</v>
      </c>
      <c r="D47" s="12">
        <v>89</v>
      </c>
      <c r="G47" s="13" t="s">
        <v>59</v>
      </c>
      <c r="H47" s="14">
        <v>0.44791666666666702</v>
      </c>
    </row>
    <row r="48" spans="3:8" x14ac:dyDescent="0.2">
      <c r="C48" s="16">
        <v>0.45833333333333298</v>
      </c>
      <c r="D48" s="12"/>
      <c r="G48" s="13" t="s">
        <v>60</v>
      </c>
      <c r="H48" s="17">
        <v>0.45833333333333298</v>
      </c>
    </row>
    <row r="49" spans="3:8" x14ac:dyDescent="0.2">
      <c r="C49" s="16">
        <v>0.46875</v>
      </c>
      <c r="D49" s="12"/>
      <c r="G49" s="13" t="s">
        <v>60</v>
      </c>
      <c r="H49" s="17">
        <v>0.46875</v>
      </c>
    </row>
    <row r="50" spans="3:8" x14ac:dyDescent="0.2">
      <c r="C50" s="16">
        <v>0.47916666666666702</v>
      </c>
      <c r="D50" s="12"/>
      <c r="G50" s="13" t="s">
        <v>60</v>
      </c>
      <c r="H50" s="17">
        <v>0.47916666666666702</v>
      </c>
    </row>
    <row r="51" spans="3:8" x14ac:dyDescent="0.2">
      <c r="C51" s="16">
        <v>0.48958333333333298</v>
      </c>
      <c r="D51" s="12">
        <v>82</v>
      </c>
      <c r="G51" s="13" t="s">
        <v>60</v>
      </c>
      <c r="H51" s="17">
        <v>0.48958333333333298</v>
      </c>
    </row>
    <row r="52" spans="3:8" x14ac:dyDescent="0.2">
      <c r="C52" s="11">
        <v>0.5</v>
      </c>
      <c r="D52" s="12"/>
      <c r="G52" s="13" t="s">
        <v>61</v>
      </c>
      <c r="H52" s="14">
        <v>0.5</v>
      </c>
    </row>
    <row r="53" spans="3:8" x14ac:dyDescent="0.2">
      <c r="C53" s="11">
        <v>0.51041666666666696</v>
      </c>
      <c r="D53" s="12"/>
      <c r="G53" s="13" t="s">
        <v>61</v>
      </c>
      <c r="H53" s="14">
        <v>0.51041666666666696</v>
      </c>
    </row>
    <row r="54" spans="3:8" x14ac:dyDescent="0.2">
      <c r="C54" s="11">
        <v>0.52083333333333304</v>
      </c>
      <c r="D54" s="12"/>
      <c r="G54" s="13" t="s">
        <v>61</v>
      </c>
      <c r="H54" s="14">
        <v>0.52083333333333304</v>
      </c>
    </row>
    <row r="55" spans="3:8" x14ac:dyDescent="0.2">
      <c r="C55" s="11">
        <v>0.53125</v>
      </c>
      <c r="D55" s="12">
        <v>75</v>
      </c>
      <c r="G55" s="13" t="s">
        <v>61</v>
      </c>
      <c r="H55" s="14">
        <v>0.53125</v>
      </c>
    </row>
    <row r="56" spans="3:8" x14ac:dyDescent="0.2">
      <c r="C56" s="16">
        <v>0.54166666666666696</v>
      </c>
      <c r="D56" s="12"/>
      <c r="G56" s="13" t="s">
        <v>62</v>
      </c>
      <c r="H56" s="17">
        <v>0.54166666666666696</v>
      </c>
    </row>
    <row r="57" spans="3:8" x14ac:dyDescent="0.2">
      <c r="C57" s="16">
        <v>0.55208333333333703</v>
      </c>
      <c r="D57" s="12"/>
      <c r="G57" s="13" t="s">
        <v>62</v>
      </c>
      <c r="H57" s="17">
        <v>0.55208333333333703</v>
      </c>
    </row>
    <row r="58" spans="3:8" x14ac:dyDescent="0.2">
      <c r="C58" s="16">
        <v>0.562500000000004</v>
      </c>
      <c r="D58" s="12"/>
      <c r="G58" s="13" t="s">
        <v>62</v>
      </c>
      <c r="H58" s="17">
        <v>0.562500000000004</v>
      </c>
    </row>
    <row r="59" spans="3:8" x14ac:dyDescent="0.2">
      <c r="C59" s="16">
        <v>0.57291666666667096</v>
      </c>
      <c r="D59" s="12">
        <v>87</v>
      </c>
      <c r="G59" s="13" t="s">
        <v>62</v>
      </c>
      <c r="H59" s="17">
        <v>0.57291666666667096</v>
      </c>
    </row>
    <row r="60" spans="3:8" x14ac:dyDescent="0.2">
      <c r="C60" s="11">
        <v>0.58333333333333803</v>
      </c>
      <c r="D60" s="12"/>
      <c r="G60" s="13" t="s">
        <v>63</v>
      </c>
      <c r="H60" s="14">
        <v>0.58333333333333803</v>
      </c>
    </row>
    <row r="61" spans="3:8" x14ac:dyDescent="0.2">
      <c r="C61" s="11">
        <v>0.593750000000005</v>
      </c>
      <c r="D61" s="12"/>
      <c r="G61" s="13" t="s">
        <v>63</v>
      </c>
      <c r="H61" s="14">
        <v>0.593750000000005</v>
      </c>
    </row>
    <row r="62" spans="3:8" x14ac:dyDescent="0.2">
      <c r="C62" s="11">
        <v>0.60416666666667196</v>
      </c>
      <c r="D62" s="12"/>
      <c r="G62" s="13" t="s">
        <v>63</v>
      </c>
      <c r="H62" s="14">
        <v>0.60416666666667196</v>
      </c>
    </row>
    <row r="63" spans="3:8" x14ac:dyDescent="0.2">
      <c r="C63" s="11">
        <v>0.61458333333333903</v>
      </c>
      <c r="D63" s="12">
        <v>96</v>
      </c>
      <c r="G63" s="13" t="s">
        <v>63</v>
      </c>
      <c r="H63" s="14">
        <v>0.61458333333333903</v>
      </c>
    </row>
    <row r="64" spans="3:8" x14ac:dyDescent="0.2">
      <c r="C64" s="16">
        <v>0.625000000000006</v>
      </c>
      <c r="D64" s="12"/>
      <c r="G64" s="13" t="s">
        <v>64</v>
      </c>
      <c r="H64" s="17">
        <v>0.625000000000006</v>
      </c>
    </row>
    <row r="65" spans="3:8" x14ac:dyDescent="0.2">
      <c r="C65" s="16">
        <v>0.63541666666667296</v>
      </c>
      <c r="D65" s="12"/>
      <c r="G65" s="13" t="s">
        <v>64</v>
      </c>
      <c r="H65" s="17">
        <v>0.63541666666667296</v>
      </c>
    </row>
    <row r="66" spans="3:8" x14ac:dyDescent="0.2">
      <c r="C66" s="16">
        <v>0.64583333333334003</v>
      </c>
      <c r="D66" s="12"/>
      <c r="G66" s="13" t="s">
        <v>64</v>
      </c>
      <c r="H66" s="17">
        <v>0.64583333333334003</v>
      </c>
    </row>
    <row r="67" spans="3:8" x14ac:dyDescent="0.2">
      <c r="C67" s="16">
        <v>0.65625000000000699</v>
      </c>
      <c r="D67" s="12">
        <v>120</v>
      </c>
      <c r="G67" s="13" t="s">
        <v>64</v>
      </c>
      <c r="H67" s="17">
        <v>0.65625000000000699</v>
      </c>
    </row>
    <row r="68" spans="3:8" x14ac:dyDescent="0.2">
      <c r="C68" s="11">
        <v>0.66666666666667396</v>
      </c>
      <c r="D68" s="12"/>
      <c r="G68" s="13" t="s">
        <v>65</v>
      </c>
      <c r="H68" s="14">
        <v>0.66666666666667396</v>
      </c>
    </row>
    <row r="69" spans="3:8" x14ac:dyDescent="0.2">
      <c r="C69" s="11">
        <v>0.67708333333334103</v>
      </c>
      <c r="D69" s="12"/>
      <c r="G69" s="13" t="s">
        <v>65</v>
      </c>
      <c r="H69" s="14">
        <v>0.67708333333334103</v>
      </c>
    </row>
    <row r="70" spans="3:8" x14ac:dyDescent="0.2">
      <c r="C70" s="11">
        <v>0.68750000000000799</v>
      </c>
      <c r="D70" s="12"/>
      <c r="G70" s="13" t="s">
        <v>65</v>
      </c>
      <c r="H70" s="14">
        <v>0.68750000000000799</v>
      </c>
    </row>
    <row r="71" spans="3:8" x14ac:dyDescent="0.2">
      <c r="C71" s="11">
        <v>0.69791666666667496</v>
      </c>
      <c r="D71" s="12">
        <v>89</v>
      </c>
      <c r="G71" s="13" t="s">
        <v>65</v>
      </c>
      <c r="H71" s="14">
        <v>0.69791666666667496</v>
      </c>
    </row>
    <row r="72" spans="3:8" x14ac:dyDescent="0.2">
      <c r="C72" s="16">
        <v>0.70833333333334203</v>
      </c>
      <c r="D72" s="12"/>
      <c r="G72" s="13" t="s">
        <v>66</v>
      </c>
      <c r="H72" s="17">
        <v>0.70833333333334203</v>
      </c>
    </row>
    <row r="73" spans="3:8" x14ac:dyDescent="0.2">
      <c r="C73" s="16">
        <v>0.71875000000000899</v>
      </c>
      <c r="D73" s="12"/>
      <c r="G73" s="13" t="s">
        <v>66</v>
      </c>
      <c r="H73" s="17">
        <v>0.71875000000000899</v>
      </c>
    </row>
    <row r="74" spans="3:8" x14ac:dyDescent="0.2">
      <c r="C74" s="16">
        <v>0.72916666666667695</v>
      </c>
      <c r="D74" s="12"/>
      <c r="G74" s="13" t="s">
        <v>66</v>
      </c>
      <c r="H74" s="17">
        <v>0.72916666666667695</v>
      </c>
    </row>
    <row r="75" spans="3:8" x14ac:dyDescent="0.2">
      <c r="C75" s="16">
        <v>0.73958333333334403</v>
      </c>
      <c r="D75" s="12">
        <v>97</v>
      </c>
      <c r="G75" s="13" t="s">
        <v>66</v>
      </c>
      <c r="H75" s="17">
        <v>0.73958333333334403</v>
      </c>
    </row>
    <row r="76" spans="3:8" x14ac:dyDescent="0.2">
      <c r="C76" s="11">
        <v>0.75000000000001099</v>
      </c>
      <c r="D76" s="12"/>
      <c r="G76" s="13" t="s">
        <v>67</v>
      </c>
      <c r="H76" s="14">
        <v>0.75000000000001099</v>
      </c>
    </row>
    <row r="77" spans="3:8" x14ac:dyDescent="0.2">
      <c r="C77" s="11">
        <v>0.76041666666667795</v>
      </c>
      <c r="D77" s="12"/>
      <c r="G77" s="13" t="s">
        <v>67</v>
      </c>
      <c r="H77" s="14">
        <v>0.76041666666667795</v>
      </c>
    </row>
    <row r="78" spans="3:8" x14ac:dyDescent="0.2">
      <c r="C78" s="11">
        <v>0.77083333333334503</v>
      </c>
      <c r="D78" s="12"/>
      <c r="G78" s="13" t="s">
        <v>67</v>
      </c>
      <c r="H78" s="14">
        <v>0.77083333333334503</v>
      </c>
    </row>
    <row r="79" spans="3:8" x14ac:dyDescent="0.2">
      <c r="C79" s="11">
        <v>0.78125000000001199</v>
      </c>
      <c r="D79" s="12">
        <v>95</v>
      </c>
      <c r="G79" s="13" t="s">
        <v>67</v>
      </c>
      <c r="H79" s="14">
        <v>0.78125000000001199</v>
      </c>
    </row>
    <row r="80" spans="3:8" x14ac:dyDescent="0.2">
      <c r="C80" s="16">
        <v>0.79166666666667895</v>
      </c>
      <c r="D80" s="12"/>
      <c r="G80" s="13" t="s">
        <v>68</v>
      </c>
      <c r="H80" s="17">
        <v>0.79166666666667895</v>
      </c>
    </row>
    <row r="81" spans="3:8" x14ac:dyDescent="0.2">
      <c r="C81" s="16">
        <v>0.80208333333334603</v>
      </c>
      <c r="D81" s="12"/>
      <c r="G81" s="13" t="s">
        <v>68</v>
      </c>
      <c r="H81" s="17">
        <v>0.80208333333334603</v>
      </c>
    </row>
    <row r="82" spans="3:8" x14ac:dyDescent="0.2">
      <c r="C82" s="16">
        <v>0.81250000000001299</v>
      </c>
      <c r="D82" s="12"/>
      <c r="G82" s="13" t="s">
        <v>68</v>
      </c>
      <c r="H82" s="17">
        <v>0.81250000000001299</v>
      </c>
    </row>
    <row r="83" spans="3:8" x14ac:dyDescent="0.2">
      <c r="C83" s="16">
        <v>0.82291666666667995</v>
      </c>
      <c r="D83" s="12">
        <v>81</v>
      </c>
      <c r="G83" s="13" t="s">
        <v>68</v>
      </c>
      <c r="H83" s="17">
        <v>0.82291666666667995</v>
      </c>
    </row>
    <row r="84" spans="3:8" x14ac:dyDescent="0.2">
      <c r="C84" s="11">
        <v>0.83333333333334703</v>
      </c>
      <c r="D84" s="12"/>
      <c r="G84" s="13" t="s">
        <v>69</v>
      </c>
      <c r="H84" s="14">
        <v>0.83333333333334703</v>
      </c>
    </row>
    <row r="85" spans="3:8" x14ac:dyDescent="0.2">
      <c r="C85" s="11">
        <v>0.84375000000001399</v>
      </c>
      <c r="D85" s="12"/>
      <c r="G85" s="13" t="s">
        <v>69</v>
      </c>
      <c r="H85" s="14">
        <v>0.84375000000001399</v>
      </c>
    </row>
    <row r="86" spans="3:8" x14ac:dyDescent="0.2">
      <c r="C86" s="11">
        <v>0.85416666666668095</v>
      </c>
      <c r="D86" s="12"/>
      <c r="G86" s="13" t="s">
        <v>69</v>
      </c>
      <c r="H86" s="14">
        <v>0.85416666666668095</v>
      </c>
    </row>
    <row r="87" spans="3:8" x14ac:dyDescent="0.2">
      <c r="C87" s="11">
        <v>0.86458333333334803</v>
      </c>
      <c r="D87" s="12">
        <v>77</v>
      </c>
      <c r="G87" s="13" t="s">
        <v>69</v>
      </c>
      <c r="H87" s="14">
        <v>0.86458333333334803</v>
      </c>
    </row>
    <row r="88" spans="3:8" x14ac:dyDescent="0.2">
      <c r="C88" s="16">
        <v>0.87500000000001499</v>
      </c>
      <c r="D88" s="12"/>
      <c r="G88" s="13" t="s">
        <v>70</v>
      </c>
      <c r="H88" s="17">
        <v>0.87500000000001499</v>
      </c>
    </row>
    <row r="89" spans="3:8" x14ac:dyDescent="0.2">
      <c r="C89" s="16">
        <v>0.88541666666668195</v>
      </c>
      <c r="D89" s="12"/>
      <c r="G89" s="13" t="s">
        <v>70</v>
      </c>
      <c r="H89" s="17">
        <v>0.88541666666668195</v>
      </c>
    </row>
    <row r="90" spans="3:8" x14ac:dyDescent="0.2">
      <c r="C90" s="16">
        <v>0.89583333333334902</v>
      </c>
      <c r="D90" s="12"/>
      <c r="G90" s="13" t="s">
        <v>70</v>
      </c>
      <c r="H90" s="17">
        <v>0.89583333333334902</v>
      </c>
    </row>
    <row r="91" spans="3:8" x14ac:dyDescent="0.2">
      <c r="C91" s="16">
        <v>0.90625000000001599</v>
      </c>
      <c r="D91" s="12"/>
      <c r="G91" s="13" t="s">
        <v>70</v>
      </c>
      <c r="H91" s="17">
        <v>0.90625000000001599</v>
      </c>
    </row>
    <row r="92" spans="3:8" x14ac:dyDescent="0.2">
      <c r="C92" s="11">
        <v>0.91666666666668295</v>
      </c>
      <c r="D92" s="12"/>
      <c r="G92" s="13" t="s">
        <v>71</v>
      </c>
      <c r="H92" s="14">
        <v>0.91666666666668295</v>
      </c>
    </row>
    <row r="93" spans="3:8" x14ac:dyDescent="0.2">
      <c r="C93" s="11">
        <v>0.92708333333335002</v>
      </c>
      <c r="D93" s="12"/>
      <c r="G93" s="13" t="s">
        <v>71</v>
      </c>
      <c r="H93" s="14">
        <v>0.92708333333335002</v>
      </c>
    </row>
    <row r="94" spans="3:8" x14ac:dyDescent="0.2">
      <c r="C94" s="11">
        <v>0.93750000000001699</v>
      </c>
      <c r="D94" s="12"/>
      <c r="G94" s="13" t="s">
        <v>71</v>
      </c>
      <c r="H94" s="14">
        <v>0.93750000000001699</v>
      </c>
    </row>
    <row r="95" spans="3:8" x14ac:dyDescent="0.2">
      <c r="C95" s="11">
        <v>0.94791666666668395</v>
      </c>
      <c r="D95" s="12">
        <v>99</v>
      </c>
      <c r="G95" s="13" t="s">
        <v>71</v>
      </c>
      <c r="H95" s="14">
        <v>0.94791666666668395</v>
      </c>
    </row>
    <row r="96" spans="3:8" x14ac:dyDescent="0.2">
      <c r="C96" s="16">
        <v>0.95833333333335102</v>
      </c>
      <c r="D96" s="12"/>
      <c r="G96" s="13" t="s">
        <v>72</v>
      </c>
      <c r="H96" s="17">
        <v>0.95833333333335102</v>
      </c>
    </row>
    <row r="97" spans="3:8" x14ac:dyDescent="0.2">
      <c r="C97" s="16">
        <v>0.96875000000001799</v>
      </c>
      <c r="D97" s="12"/>
      <c r="G97" s="13" t="s">
        <v>72</v>
      </c>
      <c r="H97" s="17">
        <v>0.96875000000001799</v>
      </c>
    </row>
    <row r="98" spans="3:8" x14ac:dyDescent="0.2">
      <c r="C98" s="16">
        <v>0.97916666666668495</v>
      </c>
      <c r="D98" s="12"/>
      <c r="G98" s="13" t="s">
        <v>72</v>
      </c>
      <c r="H98" s="17">
        <v>0.97916666666668495</v>
      </c>
    </row>
    <row r="99" spans="3:8" ht="16" thickBot="1" x14ac:dyDescent="0.25">
      <c r="C99" s="22">
        <v>0.98958333333335202</v>
      </c>
      <c r="D99" s="23">
        <v>56</v>
      </c>
      <c r="G99" s="24" t="s">
        <v>72</v>
      </c>
      <c r="H99" s="25">
        <v>0.98958333333335202</v>
      </c>
    </row>
    <row r="100" spans="3:8" x14ac:dyDescent="0.2">
      <c r="D100" s="1"/>
    </row>
    <row r="101" spans="3:8" x14ac:dyDescent="0.2">
      <c r="D101" s="1"/>
    </row>
    <row r="102" spans="3:8" x14ac:dyDescent="0.2">
      <c r="D102" s="1"/>
    </row>
    <row r="103" spans="3:8" x14ac:dyDescent="0.2">
      <c r="D103" s="1"/>
    </row>
    <row r="104" spans="3:8" x14ac:dyDescent="0.2">
      <c r="D104" s="1"/>
    </row>
    <row r="105" spans="3:8" x14ac:dyDescent="0.2">
      <c r="D105" s="1"/>
    </row>
  </sheetData>
  <mergeCells count="2">
    <mergeCell ref="G2:H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8D7D-5B5B-6440-8D89-D63BE40BAF60}">
  <dimension ref="A1:CI126"/>
  <sheetViews>
    <sheetView tabSelected="1" topLeftCell="BL1" zoomScale="75" workbookViewId="0">
      <selection activeCell="BF90" sqref="A90:XFD90"/>
    </sheetView>
  </sheetViews>
  <sheetFormatPr baseColWidth="10" defaultRowHeight="15" x14ac:dyDescent="0.2"/>
  <cols>
    <col min="71" max="71" width="6.1640625" bestFit="1" customWidth="1"/>
    <col min="72" max="72" width="28.33203125" bestFit="1" customWidth="1"/>
    <col min="73" max="73" width="29.33203125" bestFit="1" customWidth="1"/>
    <col min="74" max="74" width="28.33203125" bestFit="1" customWidth="1"/>
  </cols>
  <sheetData>
    <row r="1" spans="1:87" ht="16" thickBot="1" x14ac:dyDescent="0.25"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T1" s="1"/>
      <c r="BU1" s="1"/>
      <c r="BV1" s="1" t="s">
        <v>73</v>
      </c>
      <c r="BW1" s="1" t="s">
        <v>74</v>
      </c>
      <c r="BX1" s="1"/>
      <c r="BY1" s="1"/>
      <c r="BZ1" s="1"/>
      <c r="CA1" s="1"/>
      <c r="CB1" s="1"/>
    </row>
    <row r="2" spans="1:87" x14ac:dyDescent="0.2">
      <c r="A2" s="129" t="s">
        <v>75</v>
      </c>
      <c r="B2" s="130"/>
      <c r="C2" s="130"/>
      <c r="D2" s="130"/>
      <c r="E2" s="130"/>
      <c r="F2" s="130"/>
      <c r="G2" s="130"/>
      <c r="H2" s="130"/>
      <c r="I2" s="130"/>
      <c r="J2" s="130"/>
      <c r="K2" s="131" t="s">
        <v>76</v>
      </c>
      <c r="L2" s="26" t="s">
        <v>77</v>
      </c>
      <c r="M2" s="27" t="s">
        <v>78</v>
      </c>
      <c r="N2" s="27" t="s">
        <v>79</v>
      </c>
      <c r="O2" s="27" t="s">
        <v>80</v>
      </c>
      <c r="P2" s="27" t="s">
        <v>81</v>
      </c>
      <c r="Q2" s="27" t="s">
        <v>82</v>
      </c>
      <c r="R2" s="27" t="s">
        <v>83</v>
      </c>
      <c r="S2" s="27" t="s">
        <v>84</v>
      </c>
      <c r="T2" s="27" t="s">
        <v>85</v>
      </c>
      <c r="U2" s="27" t="s">
        <v>86</v>
      </c>
      <c r="V2" s="27" t="s">
        <v>87</v>
      </c>
      <c r="W2" s="27" t="s">
        <v>88</v>
      </c>
      <c r="X2" s="27" t="s">
        <v>89</v>
      </c>
      <c r="Y2" s="27" t="s">
        <v>90</v>
      </c>
      <c r="Z2" s="27" t="s">
        <v>91</v>
      </c>
      <c r="AA2" s="27" t="s">
        <v>92</v>
      </c>
      <c r="AB2" s="27" t="s">
        <v>93</v>
      </c>
      <c r="AC2" s="27" t="s">
        <v>94</v>
      </c>
      <c r="AD2" s="27" t="s">
        <v>95</v>
      </c>
      <c r="AE2" s="27" t="s">
        <v>96</v>
      </c>
      <c r="AF2" s="27" t="s">
        <v>97</v>
      </c>
      <c r="AG2" s="27" t="s">
        <v>98</v>
      </c>
      <c r="AH2" s="27" t="s">
        <v>99</v>
      </c>
      <c r="AI2" s="27" t="s">
        <v>100</v>
      </c>
      <c r="AJ2" s="27" t="s">
        <v>101</v>
      </c>
      <c r="AK2" s="27" t="s">
        <v>102</v>
      </c>
      <c r="AL2" s="27" t="s">
        <v>103</v>
      </c>
      <c r="AM2" s="27" t="s">
        <v>104</v>
      </c>
      <c r="AN2" s="27" t="s">
        <v>105</v>
      </c>
      <c r="AO2" s="27" t="s">
        <v>106</v>
      </c>
      <c r="AP2" s="27" t="s">
        <v>107</v>
      </c>
      <c r="AQ2" s="27" t="s">
        <v>108</v>
      </c>
      <c r="AR2" s="27" t="s">
        <v>109</v>
      </c>
      <c r="AS2" s="27" t="s">
        <v>110</v>
      </c>
      <c r="AT2" s="27" t="s">
        <v>111</v>
      </c>
      <c r="AU2" s="27" t="s">
        <v>112</v>
      </c>
      <c r="AV2" s="27" t="s">
        <v>113</v>
      </c>
      <c r="AW2" s="27" t="s">
        <v>114</v>
      </c>
      <c r="AX2" s="27" t="s">
        <v>115</v>
      </c>
      <c r="AY2" s="27" t="s">
        <v>116</v>
      </c>
      <c r="AZ2" s="27" t="s">
        <v>117</v>
      </c>
      <c r="BA2" s="27" t="s">
        <v>118</v>
      </c>
      <c r="BB2" s="27" t="s">
        <v>119</v>
      </c>
      <c r="BC2" s="27" t="s">
        <v>120</v>
      </c>
      <c r="BD2" s="27" t="s">
        <v>121</v>
      </c>
      <c r="BE2" s="27" t="s">
        <v>122</v>
      </c>
      <c r="BF2" s="28" t="s">
        <v>123</v>
      </c>
      <c r="BG2" s="28" t="s">
        <v>124</v>
      </c>
      <c r="BH2" s="29" t="s">
        <v>125</v>
      </c>
      <c r="BI2" s="29" t="s">
        <v>126</v>
      </c>
      <c r="BJ2" s="29" t="s">
        <v>127</v>
      </c>
      <c r="BK2" s="29" t="s">
        <v>128</v>
      </c>
      <c r="BL2" s="29" t="s">
        <v>129</v>
      </c>
      <c r="BM2" s="30"/>
      <c r="BN2" s="31"/>
      <c r="BO2" s="31"/>
      <c r="BP2" s="31"/>
      <c r="BQ2" s="31"/>
      <c r="BR2" s="31"/>
      <c r="BS2" s="32"/>
      <c r="BT2" s="134" t="s">
        <v>130</v>
      </c>
      <c r="BU2" s="137" t="s">
        <v>131</v>
      </c>
      <c r="BV2" s="137" t="s">
        <v>132</v>
      </c>
      <c r="BW2" s="140" t="s">
        <v>133</v>
      </c>
      <c r="BX2" s="126" t="s">
        <v>134</v>
      </c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8"/>
    </row>
    <row r="3" spans="1:87" x14ac:dyDescent="0.2">
      <c r="A3" s="33" t="s">
        <v>135</v>
      </c>
      <c r="B3" s="34" t="s">
        <v>136</v>
      </c>
      <c r="C3" s="34" t="s">
        <v>137</v>
      </c>
      <c r="D3" s="33" t="s">
        <v>138</v>
      </c>
      <c r="E3" s="34" t="s">
        <v>139</v>
      </c>
      <c r="F3" s="34" t="s">
        <v>140</v>
      </c>
      <c r="G3" s="33" t="s">
        <v>141</v>
      </c>
      <c r="H3" s="34" t="s">
        <v>142</v>
      </c>
      <c r="I3" s="34" t="s">
        <v>143</v>
      </c>
      <c r="J3" s="33" t="s">
        <v>144</v>
      </c>
      <c r="K3" s="132"/>
      <c r="L3" s="35" t="s">
        <v>145</v>
      </c>
      <c r="M3" s="36">
        <v>1</v>
      </c>
      <c r="N3" s="36">
        <v>2</v>
      </c>
      <c r="O3" s="36">
        <v>3</v>
      </c>
      <c r="P3" s="36">
        <v>4</v>
      </c>
      <c r="Q3" s="36">
        <v>5</v>
      </c>
      <c r="R3" s="36">
        <v>6</v>
      </c>
      <c r="S3" s="36">
        <v>7</v>
      </c>
      <c r="T3" s="36">
        <v>8</v>
      </c>
      <c r="U3" s="36">
        <v>9</v>
      </c>
      <c r="V3" s="36">
        <v>10</v>
      </c>
      <c r="W3" s="36">
        <v>11</v>
      </c>
      <c r="X3" s="36">
        <v>12</v>
      </c>
      <c r="Y3" s="36">
        <v>13</v>
      </c>
      <c r="Z3" s="36">
        <v>14</v>
      </c>
      <c r="AA3" s="36">
        <v>15</v>
      </c>
      <c r="AB3" s="36">
        <v>16</v>
      </c>
      <c r="AC3" s="36">
        <v>17</v>
      </c>
      <c r="AD3" s="36">
        <v>18</v>
      </c>
      <c r="AE3" s="37">
        <v>19</v>
      </c>
      <c r="AF3" s="36">
        <v>20</v>
      </c>
      <c r="AG3" s="36">
        <v>21</v>
      </c>
      <c r="AH3" s="36">
        <v>22</v>
      </c>
      <c r="AI3" s="36">
        <v>23</v>
      </c>
      <c r="AJ3" s="36">
        <v>24</v>
      </c>
      <c r="AK3" s="36">
        <v>25</v>
      </c>
      <c r="AL3" s="36">
        <v>26</v>
      </c>
      <c r="AM3" s="36">
        <v>27</v>
      </c>
      <c r="AN3" s="36">
        <v>28</v>
      </c>
      <c r="AO3" s="36">
        <v>29</v>
      </c>
      <c r="AP3" s="36">
        <v>30</v>
      </c>
      <c r="AQ3" s="36">
        <v>31</v>
      </c>
      <c r="AR3" s="36">
        <v>32</v>
      </c>
      <c r="AS3" s="36">
        <v>33</v>
      </c>
      <c r="AT3" s="36">
        <v>34</v>
      </c>
      <c r="AU3" s="37">
        <v>35</v>
      </c>
      <c r="AV3" s="36">
        <v>36</v>
      </c>
      <c r="AW3" s="36">
        <v>37</v>
      </c>
      <c r="AX3" s="36">
        <v>38</v>
      </c>
      <c r="AY3" s="36">
        <v>39</v>
      </c>
      <c r="AZ3" s="36">
        <v>40</v>
      </c>
      <c r="BA3" s="36">
        <v>41</v>
      </c>
      <c r="BB3" s="36">
        <v>42</v>
      </c>
      <c r="BC3" s="36">
        <v>43</v>
      </c>
      <c r="BD3" s="36">
        <v>44</v>
      </c>
      <c r="BE3" s="36">
        <v>45</v>
      </c>
      <c r="BF3" s="36">
        <v>46</v>
      </c>
      <c r="BG3" s="36">
        <v>47</v>
      </c>
      <c r="BH3" s="36">
        <v>48</v>
      </c>
      <c r="BI3" s="36">
        <v>49</v>
      </c>
      <c r="BJ3" s="36">
        <v>50</v>
      </c>
      <c r="BK3" s="36">
        <v>51</v>
      </c>
      <c r="BL3" s="36">
        <v>52</v>
      </c>
      <c r="BM3" s="36"/>
      <c r="BN3" s="36">
        <v>60</v>
      </c>
      <c r="BO3" s="36">
        <v>61</v>
      </c>
      <c r="BP3" s="36">
        <v>62</v>
      </c>
      <c r="BQ3" s="36">
        <v>63</v>
      </c>
      <c r="BR3" s="36">
        <v>64</v>
      </c>
      <c r="BS3" s="38"/>
      <c r="BT3" s="135"/>
      <c r="BU3" s="138"/>
      <c r="BV3" s="138"/>
      <c r="BW3" s="141"/>
      <c r="BX3" s="36" t="s">
        <v>146</v>
      </c>
      <c r="BY3" s="36" t="s">
        <v>147</v>
      </c>
      <c r="BZ3" s="36" t="s">
        <v>148</v>
      </c>
      <c r="CA3" s="36" t="s">
        <v>149</v>
      </c>
      <c r="CB3" s="36" t="s">
        <v>150</v>
      </c>
      <c r="CC3" s="36" t="s">
        <v>151</v>
      </c>
      <c r="CD3" s="36" t="s">
        <v>152</v>
      </c>
      <c r="CE3" s="36" t="s">
        <v>153</v>
      </c>
      <c r="CF3" s="36" t="s">
        <v>154</v>
      </c>
      <c r="CG3" s="36" t="s">
        <v>155</v>
      </c>
      <c r="CH3" s="36" t="s">
        <v>156</v>
      </c>
      <c r="CI3" s="36" t="s">
        <v>157</v>
      </c>
    </row>
    <row r="4" spans="1:87" ht="16" thickBot="1" x14ac:dyDescent="0.25">
      <c r="A4" s="39"/>
      <c r="B4" s="40"/>
      <c r="C4" s="40"/>
      <c r="D4" s="40"/>
      <c r="E4" s="40"/>
      <c r="F4" s="41"/>
      <c r="G4" s="41"/>
      <c r="H4" s="41"/>
      <c r="I4" s="41"/>
      <c r="J4" s="41"/>
      <c r="K4" s="132"/>
      <c r="L4" s="35" t="s">
        <v>158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2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 t="s">
        <v>159</v>
      </c>
      <c r="BN4" s="41"/>
      <c r="BO4" s="41"/>
      <c r="BP4" s="41"/>
      <c r="BQ4" s="41"/>
      <c r="BR4" s="41"/>
      <c r="BS4" s="43"/>
      <c r="BT4" s="135"/>
      <c r="BU4" s="138"/>
      <c r="BV4" s="138"/>
      <c r="BW4" s="1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4"/>
    </row>
    <row r="5" spans="1:87" ht="16" thickBot="1" x14ac:dyDescent="0.25">
      <c r="A5" s="45"/>
      <c r="B5" s="46"/>
      <c r="C5" s="46"/>
      <c r="D5" s="47"/>
      <c r="E5" s="47"/>
      <c r="F5" s="47"/>
      <c r="G5" s="47"/>
      <c r="H5" s="47"/>
      <c r="I5" s="47"/>
      <c r="J5" s="48"/>
      <c r="K5" s="133"/>
      <c r="L5" s="49" t="s">
        <v>160</v>
      </c>
      <c r="M5" s="50">
        <v>7</v>
      </c>
      <c r="N5" s="50">
        <v>31</v>
      </c>
      <c r="O5" s="50">
        <v>4</v>
      </c>
      <c r="P5" s="50">
        <v>7</v>
      </c>
      <c r="Q5" s="50">
        <v>20</v>
      </c>
      <c r="R5" s="50">
        <v>60</v>
      </c>
      <c r="S5" s="50">
        <v>45</v>
      </c>
      <c r="T5" s="50">
        <v>66</v>
      </c>
      <c r="U5" s="50">
        <v>1</v>
      </c>
      <c r="V5" s="50">
        <v>21</v>
      </c>
      <c r="W5" s="50">
        <v>5</v>
      </c>
      <c r="X5" s="50">
        <v>34</v>
      </c>
      <c r="Y5" s="50">
        <v>27</v>
      </c>
      <c r="Z5" s="50">
        <v>6</v>
      </c>
      <c r="AA5" s="50">
        <v>26</v>
      </c>
      <c r="AB5" s="50">
        <v>56</v>
      </c>
      <c r="AC5" s="50">
        <v>0</v>
      </c>
      <c r="AD5" s="50">
        <v>17</v>
      </c>
      <c r="AE5" s="50">
        <v>3</v>
      </c>
      <c r="AF5" s="50">
        <v>8</v>
      </c>
      <c r="AG5" s="50">
        <v>53</v>
      </c>
      <c r="AH5" s="50">
        <v>17</v>
      </c>
      <c r="AI5" s="50">
        <v>76</v>
      </c>
      <c r="AJ5" s="50">
        <v>14</v>
      </c>
      <c r="AK5" s="50">
        <v>24</v>
      </c>
      <c r="AL5" s="50">
        <v>6</v>
      </c>
      <c r="AM5" s="50">
        <v>20</v>
      </c>
      <c r="AN5" s="50">
        <v>20</v>
      </c>
      <c r="AO5" s="50">
        <v>21</v>
      </c>
      <c r="AP5" s="50">
        <v>0</v>
      </c>
      <c r="AQ5" s="50">
        <v>40</v>
      </c>
      <c r="AR5" s="50">
        <v>0</v>
      </c>
      <c r="AS5" s="50">
        <v>24</v>
      </c>
      <c r="AT5" s="50">
        <v>3</v>
      </c>
      <c r="AU5" s="50">
        <v>12</v>
      </c>
      <c r="AV5" s="50">
        <v>4</v>
      </c>
      <c r="AW5" s="50">
        <v>13</v>
      </c>
      <c r="AX5" s="50">
        <v>36</v>
      </c>
      <c r="AY5" s="50">
        <v>18</v>
      </c>
      <c r="AZ5" s="50">
        <v>8</v>
      </c>
      <c r="BA5" s="50">
        <v>13</v>
      </c>
      <c r="BB5" s="50">
        <v>12</v>
      </c>
      <c r="BC5" s="50">
        <v>26</v>
      </c>
      <c r="BD5" s="50">
        <v>3</v>
      </c>
      <c r="BE5" s="50">
        <v>2</v>
      </c>
      <c r="BF5" s="50">
        <v>18</v>
      </c>
      <c r="BG5" s="50">
        <v>51</v>
      </c>
      <c r="BH5" s="50">
        <v>2</v>
      </c>
      <c r="BI5" s="50">
        <v>3</v>
      </c>
      <c r="BJ5" s="50">
        <v>4</v>
      </c>
      <c r="BK5" s="50">
        <v>2</v>
      </c>
      <c r="BL5" s="50">
        <v>0</v>
      </c>
      <c r="BM5" s="51"/>
      <c r="BN5" s="51"/>
      <c r="BO5" s="51"/>
      <c r="BP5" s="51"/>
      <c r="BQ5" s="51"/>
      <c r="BR5" s="51"/>
      <c r="BS5" s="52" t="s">
        <v>161</v>
      </c>
      <c r="BT5" s="136"/>
      <c r="BU5" s="139"/>
      <c r="BV5" s="139"/>
      <c r="BW5" s="142"/>
      <c r="BX5" s="53"/>
      <c r="BY5" s="54"/>
      <c r="BZ5" s="54"/>
      <c r="CA5" s="55"/>
      <c r="CB5" s="56"/>
      <c r="CC5" s="51"/>
      <c r="CD5" s="51"/>
      <c r="CE5" s="51"/>
      <c r="CF5" s="51"/>
      <c r="CG5" s="51"/>
      <c r="CH5" s="51"/>
      <c r="CI5" s="51"/>
    </row>
    <row r="6" spans="1:87" x14ac:dyDescent="0.2">
      <c r="A6" s="57" t="s">
        <v>6</v>
      </c>
      <c r="B6" s="58"/>
      <c r="C6" s="59" t="s">
        <v>48</v>
      </c>
      <c r="D6" s="60" t="s">
        <v>15</v>
      </c>
      <c r="E6" s="60" t="s">
        <v>32</v>
      </c>
      <c r="F6" s="59" t="s">
        <v>40</v>
      </c>
      <c r="G6" s="58"/>
      <c r="H6" s="58"/>
      <c r="I6" s="60" t="s">
        <v>23</v>
      </c>
      <c r="J6" s="58"/>
      <c r="K6" s="61" t="s">
        <v>6</v>
      </c>
      <c r="L6" s="62">
        <v>0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4">
        <f>-SUM(AU5)</f>
        <v>-12</v>
      </c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5" t="s">
        <v>162</v>
      </c>
      <c r="BK6" s="63"/>
      <c r="BL6" s="63"/>
      <c r="BM6" s="63"/>
      <c r="BN6" s="63"/>
      <c r="BO6" s="63"/>
      <c r="BP6" s="63"/>
      <c r="BQ6" s="63"/>
      <c r="BR6" s="63"/>
      <c r="BS6" s="62">
        <v>0</v>
      </c>
      <c r="BT6" s="66" t="s">
        <v>163</v>
      </c>
      <c r="BU6" s="66" t="s">
        <v>164</v>
      </c>
      <c r="BV6" s="66" t="s">
        <v>165</v>
      </c>
      <c r="BW6" s="66"/>
      <c r="BX6" s="67" t="s">
        <v>7</v>
      </c>
      <c r="BY6" s="68"/>
      <c r="BZ6" s="54"/>
      <c r="CA6" s="69"/>
      <c r="CB6" s="56" t="s">
        <v>11</v>
      </c>
      <c r="CC6" s="56"/>
      <c r="CD6" s="56" t="s">
        <v>9</v>
      </c>
      <c r="CE6" s="56"/>
      <c r="CF6" s="56"/>
      <c r="CG6" s="56"/>
      <c r="CH6" s="56"/>
      <c r="CI6" s="56"/>
    </row>
    <row r="7" spans="1:87" x14ac:dyDescent="0.2">
      <c r="A7" s="57" t="s">
        <v>6</v>
      </c>
      <c r="B7" s="58"/>
      <c r="C7" s="59" t="s">
        <v>48</v>
      </c>
      <c r="D7" s="60" t="s">
        <v>15</v>
      </c>
      <c r="E7" s="60" t="s">
        <v>32</v>
      </c>
      <c r="F7" s="59" t="s">
        <v>40</v>
      </c>
      <c r="G7" s="58"/>
      <c r="H7" s="58"/>
      <c r="I7" s="60" t="s">
        <v>23</v>
      </c>
      <c r="J7" s="58"/>
      <c r="K7" s="70" t="s">
        <v>6</v>
      </c>
      <c r="L7" s="71">
        <v>1.0416666666666666E-2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71">
        <v>1.0416666666666666E-2</v>
      </c>
      <c r="BT7" s="56" t="s">
        <v>163</v>
      </c>
      <c r="BU7" s="66" t="s">
        <v>164</v>
      </c>
      <c r="BV7" s="66" t="s">
        <v>165</v>
      </c>
      <c r="BW7" s="56"/>
      <c r="BX7" s="72" t="s">
        <v>7</v>
      </c>
      <c r="BY7" s="68"/>
      <c r="BZ7" s="54"/>
      <c r="CA7" s="69"/>
      <c r="CB7" s="56" t="s">
        <v>11</v>
      </c>
      <c r="CC7" s="56"/>
      <c r="CD7" s="56" t="s">
        <v>9</v>
      </c>
      <c r="CE7" s="56"/>
      <c r="CF7" s="56"/>
      <c r="CG7" s="56"/>
      <c r="CH7" s="56"/>
      <c r="CI7" s="56"/>
    </row>
    <row r="8" spans="1:87" x14ac:dyDescent="0.2">
      <c r="A8" s="57" t="s">
        <v>6</v>
      </c>
      <c r="B8" s="58"/>
      <c r="C8" s="59" t="s">
        <v>48</v>
      </c>
      <c r="D8" s="60" t="s">
        <v>15</v>
      </c>
      <c r="E8" s="60" t="s">
        <v>32</v>
      </c>
      <c r="F8" s="59" t="s">
        <v>40</v>
      </c>
      <c r="G8" s="58"/>
      <c r="H8" s="58"/>
      <c r="I8" s="60" t="s">
        <v>23</v>
      </c>
      <c r="J8" s="58"/>
      <c r="K8" s="70" t="s">
        <v>6</v>
      </c>
      <c r="L8" s="71">
        <v>2.0833333333333332E-2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71">
        <v>2.0833333333333332E-2</v>
      </c>
      <c r="BT8" s="56"/>
      <c r="BU8" s="66" t="s">
        <v>164</v>
      </c>
      <c r="BV8" s="66" t="s">
        <v>165</v>
      </c>
      <c r="BW8" s="56"/>
      <c r="BX8" s="72" t="s">
        <v>7</v>
      </c>
      <c r="BY8" s="68"/>
      <c r="BZ8" s="68"/>
      <c r="CA8" s="69"/>
      <c r="CB8" s="56" t="s">
        <v>11</v>
      </c>
      <c r="CC8" s="56"/>
      <c r="CD8" s="56" t="s">
        <v>9</v>
      </c>
      <c r="CE8" s="56"/>
      <c r="CF8" s="56"/>
      <c r="CG8" s="56"/>
      <c r="CH8" s="56"/>
      <c r="CI8" s="56"/>
    </row>
    <row r="9" spans="1:87" x14ac:dyDescent="0.2">
      <c r="A9" s="57" t="s">
        <v>6</v>
      </c>
      <c r="B9" s="58"/>
      <c r="C9" s="59" t="s">
        <v>48</v>
      </c>
      <c r="D9" s="60" t="s">
        <v>15</v>
      </c>
      <c r="E9" s="60" t="s">
        <v>32</v>
      </c>
      <c r="F9" s="59" t="s">
        <v>40</v>
      </c>
      <c r="G9" s="58"/>
      <c r="H9" s="58"/>
      <c r="I9" s="60" t="s">
        <v>23</v>
      </c>
      <c r="J9" s="58"/>
      <c r="K9" s="70" t="s">
        <v>6</v>
      </c>
      <c r="L9" s="71">
        <v>3.125E-2</v>
      </c>
      <c r="M9" s="63">
        <v>8</v>
      </c>
      <c r="N9" s="63">
        <v>11</v>
      </c>
      <c r="O9" s="63"/>
      <c r="P9" s="63">
        <v>12</v>
      </c>
      <c r="Q9" s="63">
        <v>1</v>
      </c>
      <c r="R9" s="63">
        <v>1</v>
      </c>
      <c r="S9" s="63">
        <v>2</v>
      </c>
      <c r="T9" s="63">
        <v>10</v>
      </c>
      <c r="U9" s="63">
        <v>9</v>
      </c>
      <c r="V9" s="63"/>
      <c r="W9" s="63"/>
      <c r="X9" s="63">
        <v>1</v>
      </c>
      <c r="Y9" s="63">
        <v>3</v>
      </c>
      <c r="Z9" s="63">
        <v>8</v>
      </c>
      <c r="AA9" s="63">
        <v>1</v>
      </c>
      <c r="AB9" s="63">
        <v>2</v>
      </c>
      <c r="AC9" s="63">
        <v>3</v>
      </c>
      <c r="AD9" s="63"/>
      <c r="AE9" s="63"/>
      <c r="AF9" s="63">
        <v>2</v>
      </c>
      <c r="AG9" s="63">
        <v>2</v>
      </c>
      <c r="AH9" s="63"/>
      <c r="AI9" s="63">
        <v>3</v>
      </c>
      <c r="AJ9" s="63"/>
      <c r="AK9" s="63"/>
      <c r="AL9" s="63"/>
      <c r="AM9" s="63">
        <v>3</v>
      </c>
      <c r="AN9" s="63"/>
      <c r="AO9" s="63"/>
      <c r="AP9" s="63">
        <v>4</v>
      </c>
      <c r="AQ9" s="63">
        <v>1</v>
      </c>
      <c r="AR9" s="63"/>
      <c r="AS9" s="63">
        <v>1</v>
      </c>
      <c r="AT9" s="63"/>
      <c r="AU9" s="63">
        <v>1</v>
      </c>
      <c r="AV9" s="63"/>
      <c r="AW9" s="63">
        <v>2</v>
      </c>
      <c r="AX9" s="63">
        <v>3</v>
      </c>
      <c r="AY9" s="63">
        <v>1</v>
      </c>
      <c r="AZ9" s="63">
        <v>6</v>
      </c>
      <c r="BA9" s="63">
        <v>2</v>
      </c>
      <c r="BB9" s="63"/>
      <c r="BC9" s="63">
        <v>2</v>
      </c>
      <c r="BD9" s="63"/>
      <c r="BE9" s="63">
        <v>6</v>
      </c>
      <c r="BF9" s="63">
        <v>6</v>
      </c>
      <c r="BG9" s="63">
        <v>2</v>
      </c>
      <c r="BH9" s="63"/>
      <c r="BI9" s="63"/>
      <c r="BJ9" s="63"/>
      <c r="BK9" s="63"/>
      <c r="BL9" s="63"/>
      <c r="BM9" s="63">
        <f>SUM(M9:BL9)</f>
        <v>119</v>
      </c>
      <c r="BN9" s="63"/>
      <c r="BO9" s="63"/>
      <c r="BP9" s="63"/>
      <c r="BQ9" s="63"/>
      <c r="BR9" s="63"/>
      <c r="BS9" s="71">
        <v>3.125E-2</v>
      </c>
      <c r="BT9" s="56"/>
      <c r="BU9" s="66" t="s">
        <v>164</v>
      </c>
      <c r="BV9" s="66" t="s">
        <v>165</v>
      </c>
      <c r="BW9" s="56"/>
      <c r="BX9" s="72" t="s">
        <v>7</v>
      </c>
      <c r="BY9" s="68"/>
      <c r="BZ9" s="68"/>
      <c r="CA9" s="69"/>
      <c r="CB9" s="56" t="s">
        <v>11</v>
      </c>
      <c r="CC9" s="56"/>
      <c r="CD9" s="56" t="s">
        <v>9</v>
      </c>
      <c r="CE9" s="56"/>
      <c r="CF9" s="56"/>
      <c r="CG9" s="56"/>
      <c r="CH9" s="56"/>
      <c r="CI9" s="56"/>
    </row>
    <row r="10" spans="1:87" x14ac:dyDescent="0.2">
      <c r="A10" s="73"/>
      <c r="B10" s="58"/>
      <c r="C10" s="59" t="s">
        <v>48</v>
      </c>
      <c r="D10" s="60" t="s">
        <v>15</v>
      </c>
      <c r="E10" s="60" t="s">
        <v>32</v>
      </c>
      <c r="F10" s="59" t="s">
        <v>40</v>
      </c>
      <c r="G10" s="58"/>
      <c r="H10" s="58"/>
      <c r="I10" s="60" t="s">
        <v>23</v>
      </c>
      <c r="J10" s="58"/>
      <c r="K10" s="70" t="s">
        <v>15</v>
      </c>
      <c r="L10" s="74">
        <v>4.1666666666666699E-2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75">
        <f>-SUM(AE5:AE9)</f>
        <v>-3</v>
      </c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76">
        <f>-(2)</f>
        <v>-2</v>
      </c>
      <c r="BI10" s="56"/>
      <c r="BJ10" s="56"/>
      <c r="BK10" s="76" t="s">
        <v>166</v>
      </c>
      <c r="BL10" s="56"/>
      <c r="BM10" s="56"/>
      <c r="BN10" s="56"/>
      <c r="BO10" s="56"/>
      <c r="BP10" s="56"/>
      <c r="BQ10" s="56"/>
      <c r="BR10" s="56"/>
      <c r="BS10" s="74">
        <v>4.1666666666666699E-2</v>
      </c>
      <c r="BT10" s="56" t="s">
        <v>167</v>
      </c>
      <c r="BU10" s="56" t="s">
        <v>168</v>
      </c>
      <c r="BV10" s="56" t="s">
        <v>169</v>
      </c>
      <c r="BW10" s="56"/>
      <c r="BX10" s="72"/>
      <c r="BY10" s="68"/>
      <c r="BZ10" s="68"/>
      <c r="CA10" s="69"/>
      <c r="CB10" s="56" t="s">
        <v>11</v>
      </c>
      <c r="CC10" s="56"/>
      <c r="CD10" s="56" t="s">
        <v>9</v>
      </c>
      <c r="CE10" s="56"/>
      <c r="CF10" s="56"/>
      <c r="CG10" s="56"/>
      <c r="CH10" s="56"/>
      <c r="CI10" s="56"/>
    </row>
    <row r="11" spans="1:87" x14ac:dyDescent="0.2">
      <c r="A11" s="73"/>
      <c r="B11" s="58"/>
      <c r="C11" s="59" t="s">
        <v>48</v>
      </c>
      <c r="D11" s="60" t="s">
        <v>15</v>
      </c>
      <c r="E11" s="60" t="s">
        <v>32</v>
      </c>
      <c r="F11" s="59" t="s">
        <v>40</v>
      </c>
      <c r="G11" s="58"/>
      <c r="H11" s="58"/>
      <c r="I11" s="60" t="s">
        <v>23</v>
      </c>
      <c r="J11" s="58"/>
      <c r="K11" s="70" t="s">
        <v>15</v>
      </c>
      <c r="L11" s="74">
        <v>5.2083333333333301E-2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74">
        <v>5.2083333333333301E-2</v>
      </c>
      <c r="BT11" s="56" t="s">
        <v>167</v>
      </c>
      <c r="BU11" s="56" t="s">
        <v>168</v>
      </c>
      <c r="BV11" s="56" t="s">
        <v>169</v>
      </c>
      <c r="BW11" s="56"/>
      <c r="BX11" s="72"/>
      <c r="BY11" s="68"/>
      <c r="BZ11" s="68"/>
      <c r="CA11" s="69"/>
      <c r="CB11" s="56" t="s">
        <v>11</v>
      </c>
      <c r="CC11" s="56"/>
      <c r="CD11" s="56" t="s">
        <v>9</v>
      </c>
      <c r="CE11" s="56"/>
      <c r="CF11" s="56"/>
      <c r="CG11" s="56"/>
      <c r="CH11" s="56"/>
      <c r="CI11" s="56"/>
    </row>
    <row r="12" spans="1:87" x14ac:dyDescent="0.2">
      <c r="A12" s="73"/>
      <c r="B12" s="58"/>
      <c r="C12" s="59" t="s">
        <v>48</v>
      </c>
      <c r="D12" s="60" t="s">
        <v>15</v>
      </c>
      <c r="E12" s="60" t="s">
        <v>32</v>
      </c>
      <c r="F12" s="59" t="s">
        <v>40</v>
      </c>
      <c r="G12" s="58"/>
      <c r="H12" s="58"/>
      <c r="I12" s="60" t="s">
        <v>23</v>
      </c>
      <c r="J12" s="58"/>
      <c r="K12" s="70" t="s">
        <v>15</v>
      </c>
      <c r="L12" s="74">
        <v>6.25E-2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74">
        <v>6.25E-2</v>
      </c>
      <c r="BT12" s="56" t="s">
        <v>167</v>
      </c>
      <c r="BU12" s="56" t="s">
        <v>168</v>
      </c>
      <c r="BV12" s="56" t="s">
        <v>169</v>
      </c>
      <c r="BW12" s="56"/>
      <c r="BX12" s="72"/>
      <c r="BY12" s="68"/>
      <c r="BZ12" s="68"/>
      <c r="CA12" s="69"/>
      <c r="CB12" s="56" t="s">
        <v>11</v>
      </c>
      <c r="CC12" s="56"/>
      <c r="CD12" s="56" t="s">
        <v>9</v>
      </c>
      <c r="CE12" s="56"/>
      <c r="CF12" s="56"/>
      <c r="CG12" s="56"/>
      <c r="CH12" s="56"/>
      <c r="CI12" s="56"/>
    </row>
    <row r="13" spans="1:87" x14ac:dyDescent="0.2">
      <c r="A13" s="73"/>
      <c r="B13" s="58"/>
      <c r="C13" s="59" t="s">
        <v>48</v>
      </c>
      <c r="D13" s="60" t="s">
        <v>15</v>
      </c>
      <c r="E13" s="60" t="s">
        <v>32</v>
      </c>
      <c r="F13" s="60" t="s">
        <v>40</v>
      </c>
      <c r="G13" s="58"/>
      <c r="H13" s="58"/>
      <c r="I13" s="60" t="s">
        <v>23</v>
      </c>
      <c r="J13" s="58"/>
      <c r="K13" s="70" t="s">
        <v>15</v>
      </c>
      <c r="L13" s="74">
        <v>7.2916666666666699E-2</v>
      </c>
      <c r="M13" s="56"/>
      <c r="N13" s="56">
        <v>1</v>
      </c>
      <c r="O13" s="56"/>
      <c r="P13" s="56">
        <v>2</v>
      </c>
      <c r="Q13" s="56">
        <v>1</v>
      </c>
      <c r="R13" s="56">
        <v>4</v>
      </c>
      <c r="S13" s="56">
        <v>5</v>
      </c>
      <c r="T13" s="56">
        <v>4</v>
      </c>
      <c r="U13" s="56">
        <v>1</v>
      </c>
      <c r="V13" s="56">
        <v>1</v>
      </c>
      <c r="W13" s="56">
        <v>2</v>
      </c>
      <c r="X13" s="56"/>
      <c r="Y13" s="56">
        <v>2</v>
      </c>
      <c r="Z13" s="56">
        <v>3</v>
      </c>
      <c r="AA13" s="56">
        <v>5</v>
      </c>
      <c r="AB13" s="56">
        <v>3</v>
      </c>
      <c r="AC13" s="56">
        <v>1</v>
      </c>
      <c r="AD13" s="56"/>
      <c r="AE13" s="56"/>
      <c r="AF13" s="56">
        <v>1</v>
      </c>
      <c r="AG13" s="56">
        <v>2</v>
      </c>
      <c r="AH13" s="56">
        <v>2</v>
      </c>
      <c r="AI13" s="56">
        <v>1</v>
      </c>
      <c r="AJ13" s="56"/>
      <c r="AK13" s="56">
        <v>2</v>
      </c>
      <c r="AL13" s="56">
        <v>1</v>
      </c>
      <c r="AM13" s="56">
        <v>2</v>
      </c>
      <c r="AN13" s="56">
        <v>2</v>
      </c>
      <c r="AO13" s="56"/>
      <c r="AP13" s="56">
        <v>1</v>
      </c>
      <c r="AQ13" s="56"/>
      <c r="AR13" s="56"/>
      <c r="AS13" s="56">
        <v>0</v>
      </c>
      <c r="AT13" s="56"/>
      <c r="AU13" s="56">
        <v>1</v>
      </c>
      <c r="AV13" s="56">
        <v>9</v>
      </c>
      <c r="AW13" s="56">
        <v>1</v>
      </c>
      <c r="AX13" s="56">
        <v>2</v>
      </c>
      <c r="AY13" s="56">
        <v>1</v>
      </c>
      <c r="AZ13" s="56">
        <v>2</v>
      </c>
      <c r="BA13" s="56">
        <v>2</v>
      </c>
      <c r="BB13" s="56">
        <v>1</v>
      </c>
      <c r="BC13" s="56">
        <v>10</v>
      </c>
      <c r="BD13" s="56"/>
      <c r="BE13" s="56"/>
      <c r="BF13" s="56">
        <v>2</v>
      </c>
      <c r="BG13" s="56">
        <v>5</v>
      </c>
      <c r="BH13" s="56"/>
      <c r="BI13" s="56"/>
      <c r="BJ13" s="56"/>
      <c r="BK13" s="56"/>
      <c r="BL13" s="56"/>
      <c r="BM13" s="56">
        <f>SUM(M13:BL13)</f>
        <v>85</v>
      </c>
      <c r="BN13" s="56"/>
      <c r="BO13" s="56"/>
      <c r="BP13" s="56"/>
      <c r="BQ13" s="56"/>
      <c r="BR13" s="56"/>
      <c r="BS13" s="74">
        <v>7.2916666666666699E-2</v>
      </c>
      <c r="BT13" s="56" t="s">
        <v>167</v>
      </c>
      <c r="BU13" s="56" t="s">
        <v>168</v>
      </c>
      <c r="BV13" s="56" t="s">
        <v>169</v>
      </c>
      <c r="BW13" s="56"/>
      <c r="BX13" s="72"/>
      <c r="BY13" s="68"/>
      <c r="BZ13" s="68"/>
      <c r="CA13" s="69"/>
      <c r="CB13" s="56" t="s">
        <v>11</v>
      </c>
      <c r="CC13" s="56"/>
      <c r="CD13" s="56" t="s">
        <v>9</v>
      </c>
      <c r="CE13" s="56"/>
      <c r="CF13" s="56"/>
      <c r="CG13" s="56"/>
      <c r="CH13" s="56"/>
      <c r="CI13" s="56"/>
    </row>
    <row r="14" spans="1:87" x14ac:dyDescent="0.2">
      <c r="A14" s="73"/>
      <c r="B14" s="58"/>
      <c r="C14" s="59" t="s">
        <v>48</v>
      </c>
      <c r="D14" s="58"/>
      <c r="E14" s="60" t="s">
        <v>32</v>
      </c>
      <c r="F14" s="60" t="s">
        <v>40</v>
      </c>
      <c r="G14" s="58"/>
      <c r="H14" s="58"/>
      <c r="I14" s="60" t="s">
        <v>23</v>
      </c>
      <c r="J14" s="58"/>
      <c r="K14" s="70" t="s">
        <v>23</v>
      </c>
      <c r="L14" s="71">
        <v>8.3333333333333301E-2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4">
        <f>-SUM(X5:X13)</f>
        <v>-35</v>
      </c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76" t="s">
        <v>166</v>
      </c>
      <c r="BK14" s="76" t="s">
        <v>166</v>
      </c>
      <c r="BL14" s="63"/>
      <c r="BM14" s="63"/>
      <c r="BN14" s="63"/>
      <c r="BO14" s="63"/>
      <c r="BP14" s="63"/>
      <c r="BQ14" s="63"/>
      <c r="BR14" s="63"/>
      <c r="BS14" s="71">
        <v>8.3333333333333301E-2</v>
      </c>
      <c r="BT14" s="56" t="s">
        <v>170</v>
      </c>
      <c r="BU14" s="56" t="s">
        <v>171</v>
      </c>
      <c r="BV14" s="56" t="s">
        <v>172</v>
      </c>
      <c r="BW14" s="56"/>
      <c r="BX14" s="77" t="s">
        <v>173</v>
      </c>
      <c r="BY14" s="54"/>
      <c r="BZ14" s="68"/>
      <c r="CA14" s="69"/>
      <c r="CB14" s="56" t="s">
        <v>11</v>
      </c>
      <c r="CC14" s="56"/>
      <c r="CD14" s="56"/>
      <c r="CE14" s="56"/>
      <c r="CF14" s="56"/>
      <c r="CG14" s="56"/>
      <c r="CH14" s="56"/>
      <c r="CI14" s="56"/>
    </row>
    <row r="15" spans="1:87" x14ac:dyDescent="0.2">
      <c r="A15" s="73"/>
      <c r="B15" s="58"/>
      <c r="C15" s="59" t="s">
        <v>48</v>
      </c>
      <c r="D15" s="58"/>
      <c r="E15" s="60" t="s">
        <v>32</v>
      </c>
      <c r="F15" s="60" t="s">
        <v>40</v>
      </c>
      <c r="G15" s="58"/>
      <c r="H15" s="58"/>
      <c r="I15" s="60" t="s">
        <v>23</v>
      </c>
      <c r="J15" s="58"/>
      <c r="K15" s="70" t="s">
        <v>23</v>
      </c>
      <c r="L15" s="71">
        <v>9.375E-2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71">
        <v>9.375E-2</v>
      </c>
      <c r="BT15" s="56" t="s">
        <v>170</v>
      </c>
      <c r="BU15" s="56" t="s">
        <v>171</v>
      </c>
      <c r="BV15" s="56" t="s">
        <v>172</v>
      </c>
      <c r="BW15" s="56"/>
      <c r="BX15" s="72" t="s">
        <v>13</v>
      </c>
      <c r="BY15" s="54"/>
      <c r="BZ15" s="68"/>
      <c r="CA15" s="69"/>
      <c r="CB15" s="56" t="s">
        <v>11</v>
      </c>
      <c r="CC15" s="56"/>
      <c r="CD15" s="56"/>
      <c r="CE15" s="56"/>
      <c r="CF15" s="56"/>
      <c r="CG15" s="56"/>
      <c r="CH15" s="56"/>
      <c r="CI15" s="56"/>
    </row>
    <row r="16" spans="1:87" x14ac:dyDescent="0.2">
      <c r="A16" s="73"/>
      <c r="B16" s="58"/>
      <c r="C16" s="60" t="s">
        <v>48</v>
      </c>
      <c r="D16" s="58"/>
      <c r="E16" s="60" t="s">
        <v>32</v>
      </c>
      <c r="F16" s="60" t="s">
        <v>40</v>
      </c>
      <c r="G16" s="58"/>
      <c r="H16" s="58"/>
      <c r="I16" s="60" t="s">
        <v>23</v>
      </c>
      <c r="J16" s="58"/>
      <c r="K16" s="70" t="s">
        <v>23</v>
      </c>
      <c r="L16" s="71">
        <v>0.104166666666667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71">
        <v>0.104166666666667</v>
      </c>
      <c r="BT16" s="56" t="s">
        <v>170</v>
      </c>
      <c r="BU16" s="56" t="s">
        <v>171</v>
      </c>
      <c r="BV16" s="56" t="s">
        <v>172</v>
      </c>
      <c r="BW16" s="56"/>
      <c r="BX16" s="72" t="s">
        <v>13</v>
      </c>
      <c r="BY16" s="54"/>
      <c r="BZ16" s="68"/>
      <c r="CA16" s="69"/>
      <c r="CB16" s="56" t="s">
        <v>11</v>
      </c>
      <c r="CC16" s="56"/>
      <c r="CD16" s="56"/>
      <c r="CE16" s="56"/>
      <c r="CF16" s="56"/>
      <c r="CG16" s="56"/>
      <c r="CH16" s="56"/>
      <c r="CI16" s="56"/>
    </row>
    <row r="17" spans="1:87" x14ac:dyDescent="0.2">
      <c r="A17" s="78" t="s">
        <v>55</v>
      </c>
      <c r="B17" s="79"/>
      <c r="C17" s="60" t="s">
        <v>48</v>
      </c>
      <c r="D17" s="58"/>
      <c r="E17" s="60" t="s">
        <v>32</v>
      </c>
      <c r="F17" s="60" t="s">
        <v>40</v>
      </c>
      <c r="G17" s="58"/>
      <c r="H17" s="58"/>
      <c r="I17" s="60" t="s">
        <v>23</v>
      </c>
      <c r="J17" s="58"/>
      <c r="K17" s="70" t="s">
        <v>23</v>
      </c>
      <c r="L17" s="71">
        <v>0.114583333333333</v>
      </c>
      <c r="M17" s="63"/>
      <c r="N17" s="63">
        <v>6</v>
      </c>
      <c r="O17" s="63"/>
      <c r="P17" s="63">
        <v>8</v>
      </c>
      <c r="Q17" s="80">
        <v>1</v>
      </c>
      <c r="R17" s="63"/>
      <c r="S17" s="63">
        <v>4</v>
      </c>
      <c r="T17" s="63">
        <v>6</v>
      </c>
      <c r="U17" s="63">
        <v>2</v>
      </c>
      <c r="V17" s="63"/>
      <c r="W17" s="63"/>
      <c r="X17" s="63"/>
      <c r="Y17" s="63"/>
      <c r="Z17" s="63">
        <v>1</v>
      </c>
      <c r="AA17" s="63"/>
      <c r="AB17" s="63">
        <v>1</v>
      </c>
      <c r="AC17" s="63"/>
      <c r="AD17" s="63"/>
      <c r="AE17" s="63"/>
      <c r="AF17" s="63"/>
      <c r="AG17" s="63">
        <v>2</v>
      </c>
      <c r="AH17" s="63"/>
      <c r="AI17" s="63"/>
      <c r="AJ17" s="63"/>
      <c r="AK17" s="63"/>
      <c r="AL17" s="63"/>
      <c r="AM17" s="63"/>
      <c r="AN17" s="63"/>
      <c r="AO17" s="63"/>
      <c r="AP17" s="63">
        <v>8</v>
      </c>
      <c r="AQ17" s="63">
        <v>3</v>
      </c>
      <c r="AR17" s="63"/>
      <c r="AS17" s="63"/>
      <c r="AT17" s="63"/>
      <c r="AU17" s="63"/>
      <c r="AV17" s="63"/>
      <c r="AW17" s="63">
        <v>5</v>
      </c>
      <c r="AX17" s="63">
        <v>2</v>
      </c>
      <c r="AY17" s="63"/>
      <c r="AZ17" s="63">
        <v>4</v>
      </c>
      <c r="BA17" s="63"/>
      <c r="BB17" s="63"/>
      <c r="BC17" s="63">
        <v>1</v>
      </c>
      <c r="BD17" s="63"/>
      <c r="BE17" s="63"/>
      <c r="BF17" s="63">
        <v>1</v>
      </c>
      <c r="BG17" s="63">
        <v>1</v>
      </c>
      <c r="BH17" s="63"/>
      <c r="BI17" s="63"/>
      <c r="BJ17" s="63"/>
      <c r="BK17" s="63"/>
      <c r="BL17" s="63"/>
      <c r="BM17" s="63">
        <f>SUM(M17:BL17)</f>
        <v>56</v>
      </c>
      <c r="BN17" s="63"/>
      <c r="BO17" s="63"/>
      <c r="BP17" s="63"/>
      <c r="BQ17" s="63"/>
      <c r="BR17" s="63"/>
      <c r="BS17" s="71">
        <v>0.114583333333333</v>
      </c>
      <c r="BT17" s="56" t="s">
        <v>170</v>
      </c>
      <c r="BU17" s="56" t="s">
        <v>171</v>
      </c>
      <c r="BV17" s="56" t="s">
        <v>172</v>
      </c>
      <c r="BW17" s="56"/>
      <c r="BX17" s="72" t="s">
        <v>13</v>
      </c>
      <c r="BY17" s="54"/>
      <c r="BZ17" s="68"/>
      <c r="CA17" s="69"/>
      <c r="CB17" s="56" t="s">
        <v>11</v>
      </c>
      <c r="CC17" s="56"/>
      <c r="CD17" s="56"/>
      <c r="CE17" s="56"/>
      <c r="CF17" s="56"/>
      <c r="CG17" s="56"/>
      <c r="CH17" s="56"/>
      <c r="CI17" s="56"/>
    </row>
    <row r="18" spans="1:87" x14ac:dyDescent="0.2">
      <c r="A18" s="78" t="s">
        <v>55</v>
      </c>
      <c r="B18" s="58"/>
      <c r="C18" s="60" t="s">
        <v>48</v>
      </c>
      <c r="D18" s="58"/>
      <c r="E18" s="60" t="s">
        <v>32</v>
      </c>
      <c r="F18" s="60" t="s">
        <v>40</v>
      </c>
      <c r="G18" s="58"/>
      <c r="H18" s="58"/>
      <c r="I18" s="58"/>
      <c r="J18" s="58"/>
      <c r="K18" s="70" t="s">
        <v>32</v>
      </c>
      <c r="L18" s="74">
        <v>0.125</v>
      </c>
      <c r="M18" s="56"/>
      <c r="N18" s="56"/>
      <c r="O18" s="56"/>
      <c r="P18" s="56"/>
      <c r="Q18" s="56"/>
      <c r="R18" s="75">
        <f>-SUM(R5:R17)</f>
        <v>-65</v>
      </c>
      <c r="S18" s="75">
        <f>-SUM(S5:S17)</f>
        <v>-56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75">
        <f>-SUM(AG5:AG17)</f>
        <v>-59</v>
      </c>
      <c r="AH18" s="75">
        <f>-SUM(AH5:AH17)</f>
        <v>-19</v>
      </c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74">
        <v>0.125</v>
      </c>
      <c r="BT18" s="81" t="s">
        <v>174</v>
      </c>
      <c r="BU18" s="56" t="s">
        <v>175</v>
      </c>
      <c r="BV18" s="56"/>
      <c r="BW18" s="56"/>
      <c r="BX18" s="56" t="s">
        <v>13</v>
      </c>
      <c r="BY18" s="82" t="s">
        <v>176</v>
      </c>
      <c r="BZ18" s="82" t="s">
        <v>177</v>
      </c>
      <c r="CA18" s="56"/>
      <c r="CB18" s="56" t="s">
        <v>11</v>
      </c>
      <c r="CC18" s="56"/>
      <c r="CD18" s="56"/>
      <c r="CE18" s="56"/>
      <c r="CF18" s="56"/>
      <c r="CG18" s="56"/>
      <c r="CH18" s="56"/>
      <c r="CI18" s="56"/>
    </row>
    <row r="19" spans="1:87" x14ac:dyDescent="0.2">
      <c r="A19" s="78" t="s">
        <v>55</v>
      </c>
      <c r="B19" s="58"/>
      <c r="C19" s="60" t="s">
        <v>48</v>
      </c>
      <c r="D19" s="58"/>
      <c r="E19" s="60" t="s">
        <v>32</v>
      </c>
      <c r="F19" s="60" t="s">
        <v>40</v>
      </c>
      <c r="G19" s="58"/>
      <c r="H19" s="58"/>
      <c r="I19" s="58"/>
      <c r="J19" s="58"/>
      <c r="K19" s="70" t="s">
        <v>32</v>
      </c>
      <c r="L19" s="74">
        <v>0.13541666666666699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74">
        <v>0.13541666666666699</v>
      </c>
      <c r="BT19" s="81" t="s">
        <v>174</v>
      </c>
      <c r="BU19" s="56" t="s">
        <v>175</v>
      </c>
      <c r="BV19" s="1"/>
      <c r="BW19" s="56"/>
      <c r="BX19" s="56" t="s">
        <v>13</v>
      </c>
      <c r="BY19" s="81" t="s">
        <v>16</v>
      </c>
      <c r="BZ19" s="81" t="s">
        <v>18</v>
      </c>
      <c r="CA19" s="56"/>
      <c r="CB19" s="56" t="s">
        <v>11</v>
      </c>
      <c r="CC19" s="56"/>
      <c r="CD19" s="56"/>
      <c r="CE19" s="56"/>
      <c r="CF19" s="56"/>
      <c r="CG19" s="56"/>
      <c r="CH19" s="56"/>
      <c r="CI19" s="56"/>
    </row>
    <row r="20" spans="1:87" x14ac:dyDescent="0.2">
      <c r="A20" s="78" t="s">
        <v>55</v>
      </c>
      <c r="B20" s="58"/>
      <c r="C20" s="60" t="s">
        <v>48</v>
      </c>
      <c r="D20" s="58"/>
      <c r="E20" s="60" t="s">
        <v>32</v>
      </c>
      <c r="F20" s="60" t="s">
        <v>40</v>
      </c>
      <c r="G20" s="58"/>
      <c r="H20" s="58"/>
      <c r="I20" s="58"/>
      <c r="J20" s="58"/>
      <c r="K20" s="70" t="s">
        <v>32</v>
      </c>
      <c r="L20" s="74">
        <v>0.14583333333333301</v>
      </c>
      <c r="M20" s="56"/>
      <c r="N20" s="56"/>
      <c r="O20" s="56"/>
      <c r="P20" s="56"/>
      <c r="Q20" s="56"/>
      <c r="R20" s="56"/>
      <c r="S20" s="56"/>
      <c r="T20" s="56"/>
      <c r="U20" s="56"/>
      <c r="V20" s="75">
        <f>-SUM(V5:V19)</f>
        <v>-22</v>
      </c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75">
        <f>-SUM(AI5:AI19)</f>
        <v>-80</v>
      </c>
      <c r="AJ20" s="56"/>
      <c r="AK20" s="75">
        <f>-SUM(AK5:AK19)</f>
        <v>-26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74">
        <v>0.14583333333333301</v>
      </c>
      <c r="BT20" s="81" t="s">
        <v>174</v>
      </c>
      <c r="BU20" s="56" t="s">
        <v>175</v>
      </c>
      <c r="BV20" s="56" t="s">
        <v>178</v>
      </c>
      <c r="BW20" s="56"/>
      <c r="BX20" s="56" t="s">
        <v>13</v>
      </c>
      <c r="BY20" s="81" t="s">
        <v>16</v>
      </c>
      <c r="BZ20" s="81" t="s">
        <v>18</v>
      </c>
      <c r="CA20" s="83" t="s">
        <v>179</v>
      </c>
      <c r="CB20" s="56"/>
      <c r="CC20" s="56"/>
      <c r="CD20" s="56"/>
      <c r="CE20" s="56"/>
      <c r="CF20" s="56"/>
      <c r="CG20" s="56"/>
      <c r="CH20" s="56"/>
      <c r="CI20" s="56"/>
    </row>
    <row r="21" spans="1:87" x14ac:dyDescent="0.2">
      <c r="A21" s="78" t="s">
        <v>55</v>
      </c>
      <c r="B21" s="58"/>
      <c r="C21" s="60" t="s">
        <v>48</v>
      </c>
      <c r="D21" s="58"/>
      <c r="E21" s="60" t="s">
        <v>32</v>
      </c>
      <c r="F21" s="60" t="s">
        <v>40</v>
      </c>
      <c r="G21" s="58"/>
      <c r="H21" s="58"/>
      <c r="I21" s="58"/>
      <c r="J21" s="58"/>
      <c r="K21" s="70" t="s">
        <v>32</v>
      </c>
      <c r="L21" s="74">
        <v>0.15625</v>
      </c>
      <c r="M21" s="56"/>
      <c r="N21" s="56">
        <v>3</v>
      </c>
      <c r="O21" s="56"/>
      <c r="P21" s="56">
        <v>3</v>
      </c>
      <c r="Q21" s="56"/>
      <c r="R21" s="56">
        <v>0</v>
      </c>
      <c r="S21" s="56">
        <v>0</v>
      </c>
      <c r="T21" s="56">
        <v>7</v>
      </c>
      <c r="U21" s="56"/>
      <c r="V21" s="56"/>
      <c r="W21" s="56"/>
      <c r="X21" s="56"/>
      <c r="Y21" s="56">
        <v>1</v>
      </c>
      <c r="Z21" s="56">
        <v>1</v>
      </c>
      <c r="AA21" s="56"/>
      <c r="AB21" s="56"/>
      <c r="AC21" s="56"/>
      <c r="AD21" s="56"/>
      <c r="AE21" s="56"/>
      <c r="AF21" s="56"/>
      <c r="AG21" s="56">
        <v>0</v>
      </c>
      <c r="AH21" s="56"/>
      <c r="AI21" s="56">
        <v>0</v>
      </c>
      <c r="AJ21" s="56"/>
      <c r="AK21" s="56"/>
      <c r="AL21" s="56">
        <v>1</v>
      </c>
      <c r="AM21" s="56"/>
      <c r="AN21" s="56"/>
      <c r="AO21" s="56"/>
      <c r="AP21" s="56">
        <v>1</v>
      </c>
      <c r="AQ21" s="56">
        <v>2</v>
      </c>
      <c r="AR21" s="56"/>
      <c r="AS21" s="56"/>
      <c r="AT21" s="56">
        <v>3</v>
      </c>
      <c r="AU21" s="56"/>
      <c r="AV21" s="56">
        <v>2</v>
      </c>
      <c r="AW21" s="56">
        <v>6</v>
      </c>
      <c r="AX21" s="56">
        <v>3</v>
      </c>
      <c r="AY21" s="56"/>
      <c r="AZ21" s="56">
        <v>1</v>
      </c>
      <c r="BA21" s="56"/>
      <c r="BB21" s="56"/>
      <c r="BC21" s="56">
        <v>5</v>
      </c>
      <c r="BD21" s="56"/>
      <c r="BE21" s="56"/>
      <c r="BF21" s="56">
        <v>4</v>
      </c>
      <c r="BG21" s="56">
        <v>1</v>
      </c>
      <c r="BH21" s="56">
        <v>1</v>
      </c>
      <c r="BI21" s="56">
        <v>3</v>
      </c>
      <c r="BJ21" s="1">
        <v>3</v>
      </c>
      <c r="BK21" s="1"/>
      <c r="BL21" s="56"/>
      <c r="BM21" s="56">
        <f>SUM(M21:BL21)</f>
        <v>51</v>
      </c>
      <c r="BN21" s="56"/>
      <c r="BO21" s="56"/>
      <c r="BP21" s="56"/>
      <c r="BQ21" s="56"/>
      <c r="BR21" s="56"/>
      <c r="BS21" s="74">
        <v>0.15625</v>
      </c>
      <c r="BT21" s="81" t="s">
        <v>174</v>
      </c>
      <c r="BU21" s="56" t="s">
        <v>175</v>
      </c>
      <c r="BV21" s="56" t="s">
        <v>178</v>
      </c>
      <c r="BW21" s="56"/>
      <c r="BX21" s="56" t="s">
        <v>13</v>
      </c>
      <c r="BY21" s="81" t="s">
        <v>16</v>
      </c>
      <c r="BZ21" s="81" t="s">
        <v>18</v>
      </c>
      <c r="CA21" s="81" t="s">
        <v>19</v>
      </c>
      <c r="CB21" s="56"/>
      <c r="CC21" s="56"/>
      <c r="CD21" s="56"/>
      <c r="CE21" s="56"/>
      <c r="CF21" s="56"/>
      <c r="CG21" s="56"/>
      <c r="CH21" s="56"/>
      <c r="CI21" s="56"/>
    </row>
    <row r="22" spans="1:87" x14ac:dyDescent="0.2">
      <c r="A22" s="78" t="s">
        <v>55</v>
      </c>
      <c r="B22" s="58"/>
      <c r="C22" s="60" t="s">
        <v>48</v>
      </c>
      <c r="D22" s="58"/>
      <c r="E22" s="58"/>
      <c r="F22" s="60" t="s">
        <v>40</v>
      </c>
      <c r="G22" s="58"/>
      <c r="H22" s="58"/>
      <c r="I22" s="58"/>
      <c r="J22" s="58"/>
      <c r="K22" s="70" t="s">
        <v>40</v>
      </c>
      <c r="L22" s="71">
        <v>0.16666666666666699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4"/>
      <c r="AH22" s="64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4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71">
        <v>0.16666666666666699</v>
      </c>
      <c r="BT22" s="56"/>
      <c r="BU22" s="56"/>
      <c r="BV22" s="56" t="s">
        <v>178</v>
      </c>
      <c r="BW22" s="56"/>
      <c r="BX22" s="56" t="s">
        <v>13</v>
      </c>
      <c r="BY22" s="81" t="s">
        <v>180</v>
      </c>
      <c r="BZ22" s="81" t="s">
        <v>18</v>
      </c>
      <c r="CA22" s="81" t="s">
        <v>19</v>
      </c>
      <c r="CB22" s="56"/>
      <c r="CC22" s="56"/>
      <c r="CD22" s="56"/>
      <c r="CE22" s="56"/>
      <c r="CF22" s="56"/>
      <c r="CG22" s="56"/>
      <c r="CH22" s="56"/>
      <c r="CI22" s="56"/>
    </row>
    <row r="23" spans="1:87" x14ac:dyDescent="0.2">
      <c r="A23" s="78" t="s">
        <v>55</v>
      </c>
      <c r="B23" s="58"/>
      <c r="C23" s="60" t="s">
        <v>48</v>
      </c>
      <c r="D23" s="58"/>
      <c r="E23" s="58"/>
      <c r="F23" s="60" t="s">
        <v>40</v>
      </c>
      <c r="G23" s="58"/>
      <c r="H23" s="58"/>
      <c r="I23" s="58"/>
      <c r="J23" s="58"/>
      <c r="K23" s="70" t="s">
        <v>40</v>
      </c>
      <c r="L23" s="71">
        <v>0.17708333333333301</v>
      </c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71">
        <v>0.17708333333333301</v>
      </c>
      <c r="BT23" s="56"/>
      <c r="BU23" s="56"/>
      <c r="BV23" s="56" t="s">
        <v>178</v>
      </c>
      <c r="BW23" s="56"/>
      <c r="BX23" s="56" t="s">
        <v>13</v>
      </c>
      <c r="BY23" s="81" t="s">
        <v>16</v>
      </c>
      <c r="BZ23" s="81" t="s">
        <v>18</v>
      </c>
      <c r="CA23" s="81" t="s">
        <v>19</v>
      </c>
      <c r="CB23" s="56"/>
      <c r="CC23" s="56"/>
      <c r="CD23" s="56"/>
      <c r="CE23" s="56"/>
      <c r="CF23" s="56"/>
      <c r="CG23" s="56"/>
      <c r="CH23" s="56"/>
      <c r="CI23" s="56"/>
    </row>
    <row r="24" spans="1:87" x14ac:dyDescent="0.2">
      <c r="A24" s="78" t="s">
        <v>55</v>
      </c>
      <c r="B24" s="58"/>
      <c r="C24" s="60" t="s">
        <v>48</v>
      </c>
      <c r="D24" s="58"/>
      <c r="E24" s="58"/>
      <c r="F24" s="60" t="s">
        <v>40</v>
      </c>
      <c r="G24" s="58"/>
      <c r="H24" s="58"/>
      <c r="I24" s="58"/>
      <c r="J24" s="58"/>
      <c r="K24" s="70" t="s">
        <v>40</v>
      </c>
      <c r="L24" s="71">
        <v>0.1875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>
        <f>-SUM(AA5:AA23)</f>
        <v>-32</v>
      </c>
      <c r="AB24" s="64">
        <f>-SUM(AB5:AB23)</f>
        <v>-62</v>
      </c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4"/>
      <c r="BJ24" s="63"/>
      <c r="BK24" s="63"/>
      <c r="BL24" s="63"/>
      <c r="BM24" s="63"/>
      <c r="BN24" s="63"/>
      <c r="BO24" s="63"/>
      <c r="BP24" s="63"/>
      <c r="BQ24" s="63"/>
      <c r="BR24" s="63"/>
      <c r="BS24" s="71">
        <v>0.1875</v>
      </c>
      <c r="BT24" s="56" t="s">
        <v>181</v>
      </c>
      <c r="BU24" s="56"/>
      <c r="BV24" s="56"/>
      <c r="BW24" s="56"/>
      <c r="BX24" s="56" t="s">
        <v>13</v>
      </c>
      <c r="BY24" s="81" t="s">
        <v>16</v>
      </c>
      <c r="BZ24" s="81" t="s">
        <v>18</v>
      </c>
      <c r="CA24" s="81" t="s">
        <v>182</v>
      </c>
      <c r="CB24" s="83" t="s">
        <v>183</v>
      </c>
      <c r="CC24" s="56"/>
      <c r="CD24" s="56"/>
      <c r="CE24" s="56"/>
      <c r="CF24" s="56"/>
      <c r="CG24" s="56"/>
      <c r="CH24" s="56"/>
      <c r="CI24" s="56"/>
    </row>
    <row r="25" spans="1:87" x14ac:dyDescent="0.2">
      <c r="A25" s="78" t="s">
        <v>55</v>
      </c>
      <c r="B25" s="59" t="s">
        <v>56</v>
      </c>
      <c r="C25" s="60" t="s">
        <v>48</v>
      </c>
      <c r="D25" s="58"/>
      <c r="E25" s="58"/>
      <c r="F25" s="60" t="s">
        <v>40</v>
      </c>
      <c r="G25" s="58"/>
      <c r="H25" s="58"/>
      <c r="I25" s="58"/>
      <c r="J25" s="58"/>
      <c r="K25" s="70" t="s">
        <v>40</v>
      </c>
      <c r="L25" s="71">
        <v>0.19791666666666699</v>
      </c>
      <c r="M25" s="63">
        <v>15</v>
      </c>
      <c r="N25" s="63">
        <v>1</v>
      </c>
      <c r="O25" s="63"/>
      <c r="P25" s="63">
        <v>2</v>
      </c>
      <c r="Q25" s="63">
        <v>2</v>
      </c>
      <c r="R25" s="63">
        <v>2</v>
      </c>
      <c r="S25" s="63">
        <v>1</v>
      </c>
      <c r="T25" s="63">
        <v>1</v>
      </c>
      <c r="U25" s="63"/>
      <c r="V25" s="63">
        <v>4</v>
      </c>
      <c r="W25" s="63">
        <v>4</v>
      </c>
      <c r="X25" s="63">
        <v>1</v>
      </c>
      <c r="Y25" s="63">
        <v>7</v>
      </c>
      <c r="Z25" s="63">
        <v>6</v>
      </c>
      <c r="AA25" s="63">
        <v>0</v>
      </c>
      <c r="AB25" s="63"/>
      <c r="AC25" s="63"/>
      <c r="AD25" s="63">
        <v>6</v>
      </c>
      <c r="AE25" s="63"/>
      <c r="AF25" s="63">
        <v>2</v>
      </c>
      <c r="AG25" s="63">
        <v>4</v>
      </c>
      <c r="AH25" s="63">
        <v>1</v>
      </c>
      <c r="AI25" s="63">
        <v>12</v>
      </c>
      <c r="AJ25" s="63"/>
      <c r="AK25" s="63">
        <v>5</v>
      </c>
      <c r="AL25" s="63"/>
      <c r="AM25" s="63">
        <v>1</v>
      </c>
      <c r="AN25" s="63">
        <v>3</v>
      </c>
      <c r="AO25" s="63">
        <v>4</v>
      </c>
      <c r="AP25" s="63"/>
      <c r="AQ25" s="63"/>
      <c r="AR25" s="63"/>
      <c r="AS25" s="63">
        <v>1</v>
      </c>
      <c r="AT25" s="63"/>
      <c r="AU25" s="63"/>
      <c r="AV25" s="63">
        <v>2</v>
      </c>
      <c r="AW25" s="63">
        <v>5</v>
      </c>
      <c r="AX25" s="63">
        <v>4</v>
      </c>
      <c r="AY25" s="63">
        <v>2</v>
      </c>
      <c r="AZ25" s="63">
        <v>3</v>
      </c>
      <c r="BA25" s="63">
        <v>3</v>
      </c>
      <c r="BB25" s="63">
        <v>1</v>
      </c>
      <c r="BC25" s="63">
        <v>3</v>
      </c>
      <c r="BD25" s="63">
        <v>1</v>
      </c>
      <c r="BE25" s="63"/>
      <c r="BF25" s="63"/>
      <c r="BG25" s="63">
        <v>7</v>
      </c>
      <c r="BH25" s="63"/>
      <c r="BI25" s="63"/>
      <c r="BJ25" s="63"/>
      <c r="BK25" s="63">
        <v>3</v>
      </c>
      <c r="BL25" s="63"/>
      <c r="BM25" s="63">
        <f>SUM(M25:BL25)</f>
        <v>119</v>
      </c>
      <c r="BN25" s="63"/>
      <c r="BO25" s="63"/>
      <c r="BP25" s="63"/>
      <c r="BQ25" s="63"/>
      <c r="BR25" s="63"/>
      <c r="BS25" s="71">
        <v>0.19791666666666699</v>
      </c>
      <c r="BT25" s="56" t="s">
        <v>181</v>
      </c>
      <c r="BU25" s="56"/>
      <c r="BV25" s="56"/>
      <c r="BW25" s="56"/>
      <c r="BX25" s="56" t="s">
        <v>13</v>
      </c>
      <c r="BY25" s="81" t="s">
        <v>16</v>
      </c>
      <c r="BZ25" s="81" t="s">
        <v>18</v>
      </c>
      <c r="CA25" s="81" t="s">
        <v>19</v>
      </c>
      <c r="CB25" s="81" t="s">
        <v>21</v>
      </c>
      <c r="CC25" s="56"/>
      <c r="CD25" s="56"/>
      <c r="CE25" s="56"/>
      <c r="CF25" s="56"/>
      <c r="CG25" s="56"/>
      <c r="CH25" s="56"/>
      <c r="CI25" s="56"/>
    </row>
    <row r="26" spans="1:87" x14ac:dyDescent="0.2">
      <c r="A26" s="78" t="s">
        <v>55</v>
      </c>
      <c r="B26" s="59" t="s">
        <v>56</v>
      </c>
      <c r="C26" s="60" t="s">
        <v>48</v>
      </c>
      <c r="D26" s="58"/>
      <c r="E26" s="58"/>
      <c r="F26" s="58"/>
      <c r="G26" s="58"/>
      <c r="H26" s="58"/>
      <c r="I26" s="58"/>
      <c r="J26" s="58"/>
      <c r="K26" s="70" t="s">
        <v>48</v>
      </c>
      <c r="L26" s="74">
        <v>0.20833333333333301</v>
      </c>
      <c r="M26" s="56"/>
      <c r="N26" s="56"/>
      <c r="O26" s="75">
        <f>-SUM(O5:O25)</f>
        <v>-4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75">
        <f>-SUM(AQ5:AQ25)</f>
        <v>-46</v>
      </c>
      <c r="AR26" s="56"/>
      <c r="AS26" s="75">
        <f>-SUM(AS5:AS25)</f>
        <v>-26</v>
      </c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74">
        <v>0.20833333333333301</v>
      </c>
      <c r="BT26" s="56" t="s">
        <v>181</v>
      </c>
      <c r="BU26" s="56" t="s">
        <v>184</v>
      </c>
      <c r="BV26" s="56"/>
      <c r="BW26" s="56"/>
      <c r="BX26" s="56" t="s">
        <v>13</v>
      </c>
      <c r="BY26" s="81" t="s">
        <v>16</v>
      </c>
      <c r="BZ26" s="81" t="s">
        <v>18</v>
      </c>
      <c r="CA26" s="81" t="s">
        <v>19</v>
      </c>
      <c r="CB26" s="81" t="s">
        <v>21</v>
      </c>
      <c r="CC26" s="83" t="s">
        <v>185</v>
      </c>
      <c r="CD26" s="56"/>
      <c r="CE26" s="56"/>
      <c r="CF26" s="56"/>
      <c r="CG26" s="56"/>
      <c r="CH26" s="56"/>
      <c r="CI26" s="56"/>
    </row>
    <row r="27" spans="1:87" x14ac:dyDescent="0.2">
      <c r="A27" s="78" t="s">
        <v>55</v>
      </c>
      <c r="B27" s="59" t="s">
        <v>56</v>
      </c>
      <c r="C27" s="60" t="s">
        <v>48</v>
      </c>
      <c r="D27" s="58"/>
      <c r="E27" s="58"/>
      <c r="F27" s="58"/>
      <c r="G27" s="58"/>
      <c r="H27" s="58"/>
      <c r="I27" s="58"/>
      <c r="J27" s="58"/>
      <c r="K27" s="70" t="s">
        <v>48</v>
      </c>
      <c r="L27" s="74">
        <v>0.21875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74">
        <v>0.21875</v>
      </c>
      <c r="BT27" s="56" t="s">
        <v>181</v>
      </c>
      <c r="BU27" s="56" t="s">
        <v>184</v>
      </c>
      <c r="BV27" s="56"/>
      <c r="BW27" s="56"/>
      <c r="BX27" s="56" t="s">
        <v>13</v>
      </c>
      <c r="BY27" s="81" t="s">
        <v>16</v>
      </c>
      <c r="BZ27" s="81" t="s">
        <v>18</v>
      </c>
      <c r="CA27" s="81" t="s">
        <v>19</v>
      </c>
      <c r="CB27" s="81" t="s">
        <v>21</v>
      </c>
      <c r="CC27" s="81" t="s">
        <v>186</v>
      </c>
      <c r="CD27" s="56"/>
      <c r="CE27" s="56"/>
      <c r="CF27" s="56"/>
      <c r="CG27" s="56"/>
      <c r="CH27" s="56"/>
      <c r="CI27" s="56"/>
    </row>
    <row r="28" spans="1:87" x14ac:dyDescent="0.2">
      <c r="A28" s="78" t="s">
        <v>55</v>
      </c>
      <c r="B28" s="59" t="s">
        <v>56</v>
      </c>
      <c r="C28" s="60" t="s">
        <v>48</v>
      </c>
      <c r="D28" s="58"/>
      <c r="E28" s="58"/>
      <c r="F28" s="58"/>
      <c r="G28" s="58"/>
      <c r="H28" s="58"/>
      <c r="I28" s="58"/>
      <c r="J28" s="58"/>
      <c r="K28" s="70" t="s">
        <v>48</v>
      </c>
      <c r="L28" s="74">
        <v>0.22916666666666699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74">
        <v>0.22916666666666699</v>
      </c>
      <c r="BT28" s="56"/>
      <c r="BU28" s="56" t="s">
        <v>184</v>
      </c>
      <c r="BV28" s="56"/>
      <c r="BW28" s="56"/>
      <c r="BX28" s="56" t="s">
        <v>13</v>
      </c>
      <c r="BY28" s="81" t="s">
        <v>16</v>
      </c>
      <c r="BZ28" s="81" t="s">
        <v>18</v>
      </c>
      <c r="CA28" s="81" t="s">
        <v>19</v>
      </c>
      <c r="CB28" s="81" t="s">
        <v>21</v>
      </c>
      <c r="CC28" s="81" t="s">
        <v>186</v>
      </c>
      <c r="CD28" s="56"/>
      <c r="CE28" s="56"/>
      <c r="CF28" s="56"/>
      <c r="CG28" s="56"/>
      <c r="CH28" s="56"/>
      <c r="CI28" s="56"/>
    </row>
    <row r="29" spans="1:87" x14ac:dyDescent="0.2">
      <c r="A29" s="57" t="s">
        <v>55</v>
      </c>
      <c r="B29" s="59" t="s">
        <v>56</v>
      </c>
      <c r="C29" s="60" t="s">
        <v>48</v>
      </c>
      <c r="D29" s="58"/>
      <c r="E29" s="58"/>
      <c r="F29" s="58"/>
      <c r="G29" s="58"/>
      <c r="H29" s="58"/>
      <c r="I29" s="58"/>
      <c r="J29" s="58"/>
      <c r="K29" s="70" t="s">
        <v>48</v>
      </c>
      <c r="L29" s="74">
        <v>0.23958333333333301</v>
      </c>
      <c r="M29" s="56"/>
      <c r="N29" s="56">
        <v>3</v>
      </c>
      <c r="O29" s="56"/>
      <c r="P29" s="56">
        <v>2</v>
      </c>
      <c r="Q29" s="56">
        <v>1</v>
      </c>
      <c r="R29" s="56">
        <v>4</v>
      </c>
      <c r="S29" s="56">
        <v>2</v>
      </c>
      <c r="T29" s="56">
        <v>8</v>
      </c>
      <c r="U29" s="56"/>
      <c r="V29" s="56">
        <v>2</v>
      </c>
      <c r="W29" s="56"/>
      <c r="X29" s="56">
        <v>1</v>
      </c>
      <c r="Y29" s="56">
        <v>2</v>
      </c>
      <c r="Z29" s="56">
        <v>4</v>
      </c>
      <c r="AA29" s="56">
        <v>1</v>
      </c>
      <c r="AB29" s="56">
        <v>1</v>
      </c>
      <c r="AC29" s="56">
        <v>2</v>
      </c>
      <c r="AD29" s="56"/>
      <c r="AE29" s="56"/>
      <c r="AF29" s="56"/>
      <c r="AG29" s="56">
        <v>3</v>
      </c>
      <c r="AH29" s="56"/>
      <c r="AI29" s="56">
        <v>1</v>
      </c>
      <c r="AJ29" s="56">
        <v>1</v>
      </c>
      <c r="AK29" s="56"/>
      <c r="AL29" s="56"/>
      <c r="AM29" s="56"/>
      <c r="AN29" s="56"/>
      <c r="AO29" s="56"/>
      <c r="AP29" s="56">
        <v>5</v>
      </c>
      <c r="AQ29" s="56">
        <v>0</v>
      </c>
      <c r="AR29" s="56"/>
      <c r="AS29" s="56">
        <v>0</v>
      </c>
      <c r="AT29" s="56">
        <v>1</v>
      </c>
      <c r="AU29" s="56"/>
      <c r="AV29" s="56">
        <v>1</v>
      </c>
      <c r="AW29" s="56">
        <v>2</v>
      </c>
      <c r="AX29" s="56">
        <v>3</v>
      </c>
      <c r="AY29" s="56">
        <v>1</v>
      </c>
      <c r="AZ29" s="56">
        <v>2</v>
      </c>
      <c r="BA29" s="56"/>
      <c r="BB29" s="56"/>
      <c r="BC29" s="56">
        <v>3</v>
      </c>
      <c r="BD29" s="56"/>
      <c r="BE29" s="56"/>
      <c r="BF29" s="56">
        <v>3</v>
      </c>
      <c r="BG29" s="56">
        <v>2</v>
      </c>
      <c r="BH29" s="56"/>
      <c r="BI29" s="56"/>
      <c r="BJ29" s="56"/>
      <c r="BK29" s="56"/>
      <c r="BL29" s="56">
        <v>12</v>
      </c>
      <c r="BM29" s="56">
        <f>SUM(M29:BL29)</f>
        <v>73</v>
      </c>
      <c r="BN29" s="56"/>
      <c r="BO29" s="56"/>
      <c r="BP29" s="56"/>
      <c r="BQ29" s="56"/>
      <c r="BR29" s="56"/>
      <c r="BS29" s="74">
        <v>0.23958333333333301</v>
      </c>
      <c r="BT29" s="56"/>
      <c r="BU29" s="56" t="s">
        <v>184</v>
      </c>
      <c r="BV29" s="56"/>
      <c r="BW29" s="56"/>
      <c r="BX29" s="84" t="s">
        <v>13</v>
      </c>
      <c r="BY29" s="85" t="s">
        <v>16</v>
      </c>
      <c r="BZ29" s="81" t="s">
        <v>18</v>
      </c>
      <c r="CA29" s="81" t="s">
        <v>19</v>
      </c>
      <c r="CB29" s="81" t="s">
        <v>21</v>
      </c>
      <c r="CC29" s="81" t="s">
        <v>186</v>
      </c>
      <c r="CD29" s="56"/>
      <c r="CE29" s="56"/>
      <c r="CF29" s="56"/>
      <c r="CG29" s="56"/>
      <c r="CH29" s="56"/>
      <c r="CI29" s="56"/>
    </row>
    <row r="30" spans="1:87" x14ac:dyDescent="0.2">
      <c r="A30" s="57" t="s">
        <v>55</v>
      </c>
      <c r="B30" s="59" t="s">
        <v>56</v>
      </c>
      <c r="C30" s="59" t="s">
        <v>57</v>
      </c>
      <c r="D30" s="59" t="s">
        <v>58</v>
      </c>
      <c r="E30" s="58"/>
      <c r="F30" s="58"/>
      <c r="G30" s="58"/>
      <c r="H30" s="58"/>
      <c r="I30" s="58"/>
      <c r="J30" s="58"/>
      <c r="K30" s="86" t="s">
        <v>55</v>
      </c>
      <c r="L30" s="71">
        <v>0.25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75">
        <f>-SUM(AN5:AN29)</f>
        <v>-25</v>
      </c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87"/>
      <c r="BB30" s="87"/>
      <c r="BC30" s="63"/>
      <c r="BD30" s="63"/>
      <c r="BE30" s="63"/>
      <c r="BF30" s="63"/>
      <c r="BG30" s="63"/>
      <c r="BH30" s="63"/>
      <c r="BI30" s="63"/>
      <c r="BJ30" s="63"/>
      <c r="BK30" s="64" t="s">
        <v>162</v>
      </c>
      <c r="BL30" s="63"/>
      <c r="BM30" s="63"/>
      <c r="BN30" s="63"/>
      <c r="BO30" s="63"/>
      <c r="BP30" s="63"/>
      <c r="BQ30" s="63"/>
      <c r="BR30" s="63"/>
      <c r="BS30" s="71">
        <v>0.25</v>
      </c>
      <c r="BT30" s="56"/>
      <c r="BU30" s="56" t="s">
        <v>187</v>
      </c>
      <c r="BV30" s="81"/>
      <c r="BW30" s="72"/>
      <c r="BX30" s="68"/>
      <c r="BY30" s="68" t="s">
        <v>16</v>
      </c>
      <c r="BZ30" s="88" t="s">
        <v>18</v>
      </c>
      <c r="CA30" s="81" t="s">
        <v>19</v>
      </c>
      <c r="CB30" s="81" t="s">
        <v>21</v>
      </c>
      <c r="CC30" s="81" t="s">
        <v>188</v>
      </c>
      <c r="CD30" s="56"/>
      <c r="CE30" s="56"/>
      <c r="CF30" s="56"/>
      <c r="CG30" s="56"/>
      <c r="CH30" s="56"/>
      <c r="CI30" s="56"/>
    </row>
    <row r="31" spans="1:87" x14ac:dyDescent="0.2">
      <c r="A31" s="57" t="s">
        <v>55</v>
      </c>
      <c r="B31" s="59" t="s">
        <v>56</v>
      </c>
      <c r="C31" s="59" t="s">
        <v>57</v>
      </c>
      <c r="D31" s="59" t="s">
        <v>58</v>
      </c>
      <c r="E31" s="79"/>
      <c r="F31" s="79"/>
      <c r="G31" s="79"/>
      <c r="H31" s="79"/>
      <c r="I31" s="79"/>
      <c r="J31" s="79"/>
      <c r="K31" s="86" t="s">
        <v>55</v>
      </c>
      <c r="L31" s="71">
        <v>0.26041666666666702</v>
      </c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90"/>
      <c r="BO31" s="90"/>
      <c r="BP31" s="90"/>
      <c r="BQ31" s="90"/>
      <c r="BR31" s="90"/>
      <c r="BS31" s="71">
        <v>0.26041666666666702</v>
      </c>
      <c r="BT31" s="81"/>
      <c r="BU31" s="56" t="s">
        <v>187</v>
      </c>
      <c r="BV31" s="81"/>
      <c r="BW31" s="91"/>
      <c r="BX31" s="68"/>
      <c r="BY31" s="68" t="s">
        <v>16</v>
      </c>
      <c r="BZ31" s="88" t="s">
        <v>18</v>
      </c>
      <c r="CA31" s="81" t="s">
        <v>19</v>
      </c>
      <c r="CB31" s="81" t="s">
        <v>21</v>
      </c>
      <c r="CC31" s="81" t="s">
        <v>186</v>
      </c>
      <c r="CD31" s="92"/>
      <c r="CE31" s="92"/>
      <c r="CF31" s="92"/>
      <c r="CG31" s="92"/>
      <c r="CH31" s="92"/>
      <c r="CI31" s="92"/>
    </row>
    <row r="32" spans="1:87" x14ac:dyDescent="0.2">
      <c r="A32" s="57" t="s">
        <v>55</v>
      </c>
      <c r="B32" s="59" t="s">
        <v>56</v>
      </c>
      <c r="C32" s="59" t="s">
        <v>57</v>
      </c>
      <c r="D32" s="59" t="s">
        <v>58</v>
      </c>
      <c r="E32" s="79"/>
      <c r="F32" s="79"/>
      <c r="G32" s="79"/>
      <c r="H32" s="79"/>
      <c r="I32" s="79"/>
      <c r="J32" s="79"/>
      <c r="K32" s="86" t="s">
        <v>55</v>
      </c>
      <c r="L32" s="71">
        <v>0.27083333333333298</v>
      </c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64">
        <f>-SUM(AD5:AD31)</f>
        <v>-23</v>
      </c>
      <c r="AE32" s="89"/>
      <c r="AF32" s="89"/>
      <c r="AG32" s="89"/>
      <c r="AH32" s="89"/>
      <c r="AI32" s="89"/>
      <c r="AJ32" s="64">
        <f>-SUM(AJ5:AJ31)</f>
        <v>-15</v>
      </c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90"/>
      <c r="BO32" s="90"/>
      <c r="BP32" s="90"/>
      <c r="BQ32" s="90"/>
      <c r="BR32" s="90"/>
      <c r="BS32" s="71">
        <v>0.27083333333333298</v>
      </c>
      <c r="BT32" s="81" t="s">
        <v>189</v>
      </c>
      <c r="BU32" s="56" t="s">
        <v>187</v>
      </c>
      <c r="BV32" s="81"/>
      <c r="BW32" s="91"/>
      <c r="BX32" s="68"/>
      <c r="BY32" s="68" t="s">
        <v>16</v>
      </c>
      <c r="BZ32" s="88" t="s">
        <v>18</v>
      </c>
      <c r="CA32" s="81" t="s">
        <v>19</v>
      </c>
      <c r="CB32" s="81" t="s">
        <v>21</v>
      </c>
      <c r="CC32" s="81" t="s">
        <v>186</v>
      </c>
      <c r="CD32" s="83" t="s">
        <v>190</v>
      </c>
      <c r="CE32" s="92"/>
      <c r="CF32" s="92"/>
      <c r="CG32" s="92"/>
      <c r="CH32" s="92"/>
      <c r="CI32" s="92"/>
    </row>
    <row r="33" spans="1:87" x14ac:dyDescent="0.2">
      <c r="A33" s="57" t="s">
        <v>55</v>
      </c>
      <c r="B33" s="59" t="s">
        <v>56</v>
      </c>
      <c r="C33" s="59" t="s">
        <v>57</v>
      </c>
      <c r="D33" s="59" t="s">
        <v>58</v>
      </c>
      <c r="E33" s="79"/>
      <c r="F33" s="79"/>
      <c r="G33" s="79"/>
      <c r="H33" s="79"/>
      <c r="I33" s="79"/>
      <c r="J33" s="79"/>
      <c r="K33" s="86" t="s">
        <v>55</v>
      </c>
      <c r="L33" s="71">
        <v>0.28125</v>
      </c>
      <c r="M33" s="89"/>
      <c r="N33" s="63">
        <v>1</v>
      </c>
      <c r="O33" s="63"/>
      <c r="P33" s="63">
        <v>1</v>
      </c>
      <c r="Q33" s="63"/>
      <c r="R33" s="63">
        <v>1</v>
      </c>
      <c r="S33" s="63">
        <v>3</v>
      </c>
      <c r="T33" s="63">
        <v>3</v>
      </c>
      <c r="U33" s="63"/>
      <c r="V33" s="63"/>
      <c r="W33" s="63"/>
      <c r="X33" s="63"/>
      <c r="Y33" s="63">
        <v>1</v>
      </c>
      <c r="Z33" s="63">
        <v>1</v>
      </c>
      <c r="AA33" s="63">
        <v>3</v>
      </c>
      <c r="AB33" s="63"/>
      <c r="AC33" s="63"/>
      <c r="AD33" s="63"/>
      <c r="AE33" s="63"/>
      <c r="AF33" s="63"/>
      <c r="AG33" s="63">
        <v>1</v>
      </c>
      <c r="AH33" s="63"/>
      <c r="AI33" s="63">
        <v>1</v>
      </c>
      <c r="AJ33" s="63"/>
      <c r="AK33" s="63"/>
      <c r="AL33" s="63">
        <v>1</v>
      </c>
      <c r="AM33" s="63"/>
      <c r="AN33" s="63"/>
      <c r="AO33" s="63"/>
      <c r="AP33" s="63">
        <v>1</v>
      </c>
      <c r="AQ33" s="63">
        <v>1</v>
      </c>
      <c r="AR33" s="63"/>
      <c r="AS33" s="63"/>
      <c r="AT33" s="63">
        <v>1</v>
      </c>
      <c r="AU33" s="63"/>
      <c r="AV33" s="63">
        <v>1</v>
      </c>
      <c r="AW33" s="63">
        <v>3</v>
      </c>
      <c r="AX33" s="63">
        <v>1</v>
      </c>
      <c r="AY33" s="63"/>
      <c r="AZ33" s="63">
        <v>1</v>
      </c>
      <c r="BA33" s="63"/>
      <c r="BB33" s="63"/>
      <c r="BC33" s="63"/>
      <c r="BD33" s="63"/>
      <c r="BE33" s="63"/>
      <c r="BF33" s="63">
        <v>2</v>
      </c>
      <c r="BG33" s="63">
        <v>1</v>
      </c>
      <c r="BH33" s="63"/>
      <c r="BI33" s="63"/>
      <c r="BJ33" s="63"/>
      <c r="BK33" s="63"/>
      <c r="BL33" s="63"/>
      <c r="BM33" s="63">
        <f>SUM(M33:BL33)</f>
        <v>29</v>
      </c>
      <c r="BN33" s="63"/>
      <c r="BO33" s="63"/>
      <c r="BP33" s="63"/>
      <c r="BQ33" s="90"/>
      <c r="BR33" s="90"/>
      <c r="BS33" s="71">
        <v>0.28125</v>
      </c>
      <c r="BT33" s="81" t="s">
        <v>189</v>
      </c>
      <c r="BU33" s="56" t="s">
        <v>187</v>
      </c>
      <c r="BV33" s="81"/>
      <c r="BW33" s="91"/>
      <c r="BX33" s="68"/>
      <c r="BY33" s="68" t="s">
        <v>16</v>
      </c>
      <c r="BZ33" s="88" t="s">
        <v>18</v>
      </c>
      <c r="CA33" s="81" t="s">
        <v>19</v>
      </c>
      <c r="CB33" s="81" t="s">
        <v>21</v>
      </c>
      <c r="CC33" s="81" t="s">
        <v>186</v>
      </c>
      <c r="CD33" s="81" t="s">
        <v>26</v>
      </c>
      <c r="CE33" s="92"/>
      <c r="CF33" s="92"/>
      <c r="CG33" s="92"/>
      <c r="CH33" s="92"/>
      <c r="CI33" s="92"/>
    </row>
    <row r="34" spans="1:87" x14ac:dyDescent="0.2">
      <c r="A34" s="93" t="s">
        <v>59</v>
      </c>
      <c r="B34" s="59" t="s">
        <v>56</v>
      </c>
      <c r="C34" s="59" t="s">
        <v>57</v>
      </c>
      <c r="D34" s="59" t="s">
        <v>58</v>
      </c>
      <c r="E34" s="59" t="s">
        <v>60</v>
      </c>
      <c r="F34" s="79"/>
      <c r="G34" s="79"/>
      <c r="H34" s="79"/>
      <c r="I34" s="79"/>
      <c r="J34" s="79"/>
      <c r="K34" s="70" t="s">
        <v>56</v>
      </c>
      <c r="L34" s="74">
        <v>0.29166666666666702</v>
      </c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75">
        <f>-SUM(AO5:AO33)</f>
        <v>-25</v>
      </c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76">
        <f>-SUM(BG5:BG33)</f>
        <v>-70</v>
      </c>
      <c r="BH34" s="81"/>
      <c r="BI34" s="76">
        <f>-SUM(BI5:BI33)</f>
        <v>-6</v>
      </c>
      <c r="BJ34" s="81"/>
      <c r="BK34" s="81"/>
      <c r="BL34" s="81"/>
      <c r="BM34" s="76"/>
      <c r="BN34" s="92"/>
      <c r="BO34" s="92"/>
      <c r="BP34" s="92"/>
      <c r="BQ34" s="92"/>
      <c r="BR34" s="92"/>
      <c r="BS34" s="74">
        <v>0.29166666666666702</v>
      </c>
      <c r="BT34" s="81" t="s">
        <v>189</v>
      </c>
      <c r="BU34" s="81" t="s">
        <v>191</v>
      </c>
      <c r="BV34" s="56" t="s">
        <v>192</v>
      </c>
      <c r="BW34" s="91"/>
      <c r="BX34" s="68"/>
      <c r="BY34" s="68"/>
      <c r="BZ34" s="94" t="s">
        <v>193</v>
      </c>
      <c r="CA34" s="81" t="s">
        <v>19</v>
      </c>
      <c r="CB34" s="81" t="s">
        <v>21</v>
      </c>
      <c r="CC34" s="81" t="s">
        <v>186</v>
      </c>
      <c r="CD34" s="81" t="s">
        <v>26</v>
      </c>
      <c r="CE34" s="92"/>
      <c r="CF34" s="92"/>
      <c r="CG34" s="92"/>
      <c r="CH34" s="92"/>
      <c r="CI34" s="92"/>
    </row>
    <row r="35" spans="1:87" x14ac:dyDescent="0.2">
      <c r="A35" s="93" t="s">
        <v>59</v>
      </c>
      <c r="B35" s="59" t="s">
        <v>56</v>
      </c>
      <c r="C35" s="59" t="s">
        <v>57</v>
      </c>
      <c r="D35" s="59" t="s">
        <v>58</v>
      </c>
      <c r="E35" s="59" t="s">
        <v>60</v>
      </c>
      <c r="F35" s="79"/>
      <c r="G35" s="79"/>
      <c r="H35" s="79"/>
      <c r="I35" s="79"/>
      <c r="J35" s="79"/>
      <c r="K35" s="70" t="s">
        <v>56</v>
      </c>
      <c r="L35" s="74">
        <v>0.30208333333333298</v>
      </c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92"/>
      <c r="BO35" s="92"/>
      <c r="BP35" s="92"/>
      <c r="BQ35" s="92"/>
      <c r="BR35" s="92"/>
      <c r="BS35" s="74">
        <v>0.30208333333333298</v>
      </c>
      <c r="BT35" s="81" t="s">
        <v>189</v>
      </c>
      <c r="BU35" s="81" t="s">
        <v>191</v>
      </c>
      <c r="BV35" s="56" t="s">
        <v>192</v>
      </c>
      <c r="BW35" s="91"/>
      <c r="BX35" s="68"/>
      <c r="BY35" s="68"/>
      <c r="BZ35" s="88" t="s">
        <v>28</v>
      </c>
      <c r="CA35" s="81" t="s">
        <v>19</v>
      </c>
      <c r="CB35" s="81" t="s">
        <v>21</v>
      </c>
      <c r="CC35" s="81" t="s">
        <v>186</v>
      </c>
      <c r="CD35" s="81" t="s">
        <v>26</v>
      </c>
      <c r="CE35" s="92"/>
      <c r="CF35" s="92"/>
      <c r="CG35" s="92"/>
      <c r="CH35" s="92"/>
      <c r="CI35" s="92"/>
    </row>
    <row r="36" spans="1:87" x14ac:dyDescent="0.2">
      <c r="A36" s="93" t="s">
        <v>59</v>
      </c>
      <c r="B36" s="59" t="s">
        <v>56</v>
      </c>
      <c r="C36" s="59" t="s">
        <v>57</v>
      </c>
      <c r="D36" s="59" t="s">
        <v>58</v>
      </c>
      <c r="E36" s="59" t="s">
        <v>60</v>
      </c>
      <c r="F36" s="59" t="s">
        <v>61</v>
      </c>
      <c r="G36" s="79"/>
      <c r="H36" s="79"/>
      <c r="I36" s="79"/>
      <c r="J36" s="79"/>
      <c r="K36" s="70" t="s">
        <v>56</v>
      </c>
      <c r="L36" s="74">
        <v>0.3125</v>
      </c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92"/>
      <c r="BO36" s="92"/>
      <c r="BP36" s="92"/>
      <c r="BQ36" s="92"/>
      <c r="BR36" s="92"/>
      <c r="BS36" s="74">
        <v>0.3125</v>
      </c>
      <c r="BT36" s="81"/>
      <c r="BU36" s="81" t="s">
        <v>191</v>
      </c>
      <c r="BV36" s="56" t="s">
        <v>192</v>
      </c>
      <c r="BW36" s="91"/>
      <c r="BX36" s="68"/>
      <c r="BY36" s="68"/>
      <c r="BZ36" s="88" t="s">
        <v>28</v>
      </c>
      <c r="CA36" s="81"/>
      <c r="CB36" s="81" t="s">
        <v>21</v>
      </c>
      <c r="CC36" s="81" t="s">
        <v>186</v>
      </c>
      <c r="CD36" s="81" t="s">
        <v>194</v>
      </c>
      <c r="CE36" s="92"/>
      <c r="CF36" s="92"/>
      <c r="CG36" s="92"/>
      <c r="CH36" s="92"/>
      <c r="CI36" s="92"/>
    </row>
    <row r="37" spans="1:87" x14ac:dyDescent="0.2">
      <c r="A37" s="93" t="s">
        <v>59</v>
      </c>
      <c r="B37" s="60" t="s">
        <v>56</v>
      </c>
      <c r="C37" s="59" t="s">
        <v>57</v>
      </c>
      <c r="D37" s="59" t="s">
        <v>58</v>
      </c>
      <c r="E37" s="59" t="s">
        <v>60</v>
      </c>
      <c r="F37" s="59" t="s">
        <v>61</v>
      </c>
      <c r="G37" s="79"/>
      <c r="H37" s="79"/>
      <c r="I37" s="79"/>
      <c r="J37" s="79"/>
      <c r="K37" s="70" t="s">
        <v>56</v>
      </c>
      <c r="L37" s="74">
        <v>0.32291666666666702</v>
      </c>
      <c r="M37" s="81">
        <v>3</v>
      </c>
      <c r="N37" s="81">
        <v>9</v>
      </c>
      <c r="O37" s="81">
        <v>2</v>
      </c>
      <c r="P37" s="81">
        <v>4</v>
      </c>
      <c r="Q37" s="81">
        <v>5</v>
      </c>
      <c r="R37" s="81">
        <v>2</v>
      </c>
      <c r="S37" s="81">
        <v>1</v>
      </c>
      <c r="T37" s="81">
        <v>10</v>
      </c>
      <c r="U37" s="81">
        <v>2</v>
      </c>
      <c r="V37" s="81">
        <v>2</v>
      </c>
      <c r="W37" s="81">
        <v>1</v>
      </c>
      <c r="X37" s="81">
        <v>1</v>
      </c>
      <c r="Y37" s="81">
        <v>2</v>
      </c>
      <c r="Z37" s="81">
        <v>4</v>
      </c>
      <c r="AA37" s="81">
        <v>1</v>
      </c>
      <c r="AB37" s="81">
        <v>2</v>
      </c>
      <c r="AC37" s="81">
        <v>2</v>
      </c>
      <c r="AD37" s="81">
        <v>2</v>
      </c>
      <c r="AE37" s="81"/>
      <c r="AF37" s="81">
        <v>2</v>
      </c>
      <c r="AG37" s="81">
        <v>1</v>
      </c>
      <c r="AH37" s="81">
        <v>2</v>
      </c>
      <c r="AI37" s="81">
        <v>4</v>
      </c>
      <c r="AJ37" s="81">
        <v>6</v>
      </c>
      <c r="AK37" s="81">
        <v>3</v>
      </c>
      <c r="AL37" s="81"/>
      <c r="AM37" s="81">
        <v>2</v>
      </c>
      <c r="AN37" s="81">
        <v>3</v>
      </c>
      <c r="AO37" s="81">
        <v>0</v>
      </c>
      <c r="AP37" s="81">
        <v>9</v>
      </c>
      <c r="AQ37" s="81">
        <v>7</v>
      </c>
      <c r="AR37" s="81"/>
      <c r="AS37" s="81">
        <v>2</v>
      </c>
      <c r="AT37" s="81">
        <v>1</v>
      </c>
      <c r="AU37" s="81"/>
      <c r="AV37" s="81">
        <v>3</v>
      </c>
      <c r="AW37" s="81">
        <v>2</v>
      </c>
      <c r="AX37" s="81">
        <v>7</v>
      </c>
      <c r="AY37" s="81">
        <v>3</v>
      </c>
      <c r="AZ37" s="81">
        <v>4</v>
      </c>
      <c r="BA37" s="81">
        <v>4</v>
      </c>
      <c r="BB37" s="81"/>
      <c r="BC37" s="81">
        <v>5</v>
      </c>
      <c r="BD37" s="81">
        <v>5</v>
      </c>
      <c r="BE37" s="81">
        <v>5</v>
      </c>
      <c r="BF37" s="81">
        <v>5</v>
      </c>
      <c r="BG37" s="81">
        <v>0</v>
      </c>
      <c r="BH37" s="81"/>
      <c r="BI37" s="81">
        <v>8</v>
      </c>
      <c r="BJ37" s="81"/>
      <c r="BK37" s="81"/>
      <c r="BL37" s="81"/>
      <c r="BM37" s="56">
        <f>SUM(M37:BL37)</f>
        <v>148</v>
      </c>
      <c r="BN37" s="92"/>
      <c r="BO37" s="92"/>
      <c r="BP37" s="92"/>
      <c r="BQ37" s="92"/>
      <c r="BR37" s="92"/>
      <c r="BS37" s="74">
        <v>0.32291666666666702</v>
      </c>
      <c r="BT37" s="81"/>
      <c r="BU37" s="81" t="s">
        <v>191</v>
      </c>
      <c r="BV37" s="56" t="s">
        <v>192</v>
      </c>
      <c r="BW37" s="91"/>
      <c r="BX37" s="68"/>
      <c r="BY37" s="68"/>
      <c r="BZ37" s="88" t="s">
        <v>28</v>
      </c>
      <c r="CA37" s="81"/>
      <c r="CB37" s="81" t="s">
        <v>21</v>
      </c>
      <c r="CC37" s="81" t="s">
        <v>186</v>
      </c>
      <c r="CD37" s="81" t="s">
        <v>195</v>
      </c>
      <c r="CE37" s="92"/>
      <c r="CF37" s="92"/>
      <c r="CG37" s="92"/>
      <c r="CH37" s="92"/>
      <c r="CI37" s="92"/>
    </row>
    <row r="38" spans="1:87" x14ac:dyDescent="0.2">
      <c r="A38" s="93" t="s">
        <v>59</v>
      </c>
      <c r="B38" s="79"/>
      <c r="C38" s="59" t="s">
        <v>57</v>
      </c>
      <c r="D38" s="59" t="s">
        <v>58</v>
      </c>
      <c r="E38" s="59" t="s">
        <v>60</v>
      </c>
      <c r="F38" s="59" t="s">
        <v>61</v>
      </c>
      <c r="G38" s="79"/>
      <c r="H38" s="79"/>
      <c r="I38" s="79"/>
      <c r="J38" s="79"/>
      <c r="K38" s="70" t="s">
        <v>57</v>
      </c>
      <c r="L38" s="71">
        <v>0.33333333333333298</v>
      </c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76" t="s">
        <v>162</v>
      </c>
      <c r="BJ38" s="89"/>
      <c r="BK38" s="89"/>
      <c r="BL38" s="89"/>
      <c r="BM38" s="89"/>
      <c r="BN38" s="90"/>
      <c r="BO38" s="90"/>
      <c r="BP38" s="90"/>
      <c r="BQ38" s="90"/>
      <c r="BR38" s="90"/>
      <c r="BS38" s="71">
        <v>0.33333333333333298</v>
      </c>
      <c r="BT38" s="81"/>
      <c r="BU38" s="81"/>
      <c r="BV38" s="56" t="s">
        <v>196</v>
      </c>
      <c r="BW38" s="91"/>
      <c r="BX38" s="68"/>
      <c r="BY38" s="68"/>
      <c r="BZ38" s="88" t="s">
        <v>28</v>
      </c>
      <c r="CA38" s="81"/>
      <c r="CB38" s="81" t="s">
        <v>21</v>
      </c>
      <c r="CC38" s="81" t="s">
        <v>186</v>
      </c>
      <c r="CD38" s="81" t="s">
        <v>26</v>
      </c>
      <c r="CE38" s="92"/>
      <c r="CF38" s="92"/>
      <c r="CG38" s="92"/>
      <c r="CH38" s="92"/>
      <c r="CI38" s="92"/>
    </row>
    <row r="39" spans="1:87" x14ac:dyDescent="0.2">
      <c r="A39" s="93" t="s">
        <v>59</v>
      </c>
      <c r="B39" s="79"/>
      <c r="C39" s="59" t="s">
        <v>57</v>
      </c>
      <c r="D39" s="59" t="s">
        <v>58</v>
      </c>
      <c r="E39" s="59" t="s">
        <v>60</v>
      </c>
      <c r="F39" s="59" t="s">
        <v>61</v>
      </c>
      <c r="G39" s="79"/>
      <c r="H39" s="79"/>
      <c r="I39" s="79"/>
      <c r="J39" s="79"/>
      <c r="K39" s="70" t="s">
        <v>57</v>
      </c>
      <c r="L39" s="71">
        <v>0.34375</v>
      </c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90"/>
      <c r="BO39" s="90"/>
      <c r="BP39" s="90"/>
      <c r="BQ39" s="90"/>
      <c r="BR39" s="90"/>
      <c r="BS39" s="71">
        <v>0.34375</v>
      </c>
      <c r="BT39" s="81"/>
      <c r="BU39" s="81"/>
      <c r="BV39" s="56" t="s">
        <v>196</v>
      </c>
      <c r="BW39" s="91"/>
      <c r="BX39" s="68"/>
      <c r="BY39" s="68"/>
      <c r="BZ39" s="88" t="s">
        <v>28</v>
      </c>
      <c r="CA39" s="81"/>
      <c r="CB39" s="81" t="s">
        <v>21</v>
      </c>
      <c r="CC39" s="81" t="s">
        <v>186</v>
      </c>
      <c r="CD39" s="81" t="s">
        <v>26</v>
      </c>
      <c r="CE39" s="92"/>
      <c r="CF39" s="92"/>
      <c r="CG39" s="92"/>
      <c r="CH39" s="92"/>
      <c r="CI39" s="92"/>
    </row>
    <row r="40" spans="1:87" x14ac:dyDescent="0.2">
      <c r="A40" s="93" t="s">
        <v>59</v>
      </c>
      <c r="B40" s="59" t="s">
        <v>62</v>
      </c>
      <c r="C40" s="59" t="s">
        <v>57</v>
      </c>
      <c r="D40" s="59" t="s">
        <v>58</v>
      </c>
      <c r="E40" s="59" t="s">
        <v>60</v>
      </c>
      <c r="F40" s="59" t="s">
        <v>61</v>
      </c>
      <c r="G40" s="79"/>
      <c r="H40" s="79"/>
      <c r="I40" s="79"/>
      <c r="J40" s="79"/>
      <c r="K40" s="70" t="s">
        <v>57</v>
      </c>
      <c r="L40" s="71">
        <v>0.35416666666666702</v>
      </c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90"/>
      <c r="BO40" s="90"/>
      <c r="BP40" s="90"/>
      <c r="BQ40" s="90"/>
      <c r="BR40" s="90"/>
      <c r="BS40" s="71">
        <v>0.35416666666666702</v>
      </c>
      <c r="BT40" s="81"/>
      <c r="BU40" s="81"/>
      <c r="BV40" s="56" t="s">
        <v>196</v>
      </c>
      <c r="BW40" s="91"/>
      <c r="BX40" s="68"/>
      <c r="BY40" s="68"/>
      <c r="BZ40" s="88" t="s">
        <v>28</v>
      </c>
      <c r="CA40" s="81"/>
      <c r="CB40" s="81"/>
      <c r="CC40" s="81" t="s">
        <v>186</v>
      </c>
      <c r="CD40" s="81" t="s">
        <v>26</v>
      </c>
      <c r="CE40" s="92"/>
      <c r="CF40" s="92"/>
      <c r="CG40" s="92"/>
      <c r="CH40" s="92"/>
      <c r="CI40" s="92"/>
    </row>
    <row r="41" spans="1:87" x14ac:dyDescent="0.2">
      <c r="A41" s="93" t="s">
        <v>59</v>
      </c>
      <c r="B41" s="59" t="s">
        <v>62</v>
      </c>
      <c r="C41" s="59" t="s">
        <v>57</v>
      </c>
      <c r="D41" s="59" t="s">
        <v>58</v>
      </c>
      <c r="E41" s="59" t="s">
        <v>60</v>
      </c>
      <c r="F41" s="59" t="s">
        <v>61</v>
      </c>
      <c r="G41" s="79"/>
      <c r="H41" s="79"/>
      <c r="I41" s="79"/>
      <c r="J41" s="79"/>
      <c r="K41" s="70" t="s">
        <v>57</v>
      </c>
      <c r="L41" s="71">
        <v>0.36458333333333298</v>
      </c>
      <c r="M41" s="89">
        <v>5</v>
      </c>
      <c r="N41" s="89">
        <v>1</v>
      </c>
      <c r="O41" s="89"/>
      <c r="P41" s="89">
        <v>1</v>
      </c>
      <c r="Q41" s="89">
        <v>3</v>
      </c>
      <c r="R41" s="89">
        <v>4</v>
      </c>
      <c r="S41" s="89">
        <v>1</v>
      </c>
      <c r="T41" s="89">
        <v>2</v>
      </c>
      <c r="U41" s="89"/>
      <c r="V41" s="89">
        <v>1</v>
      </c>
      <c r="W41" s="89">
        <v>4</v>
      </c>
      <c r="X41" s="89">
        <v>2</v>
      </c>
      <c r="Y41" s="89">
        <v>5</v>
      </c>
      <c r="Z41" s="89">
        <v>6</v>
      </c>
      <c r="AA41" s="89">
        <v>2</v>
      </c>
      <c r="AB41" s="89">
        <v>14</v>
      </c>
      <c r="AC41" s="89">
        <v>1</v>
      </c>
      <c r="AD41" s="89">
        <v>1</v>
      </c>
      <c r="AE41" s="89"/>
      <c r="AF41" s="89">
        <v>1</v>
      </c>
      <c r="AG41" s="89">
        <v>6</v>
      </c>
      <c r="AH41" s="89"/>
      <c r="AI41" s="89">
        <v>3</v>
      </c>
      <c r="AJ41" s="89"/>
      <c r="AK41" s="89">
        <v>1</v>
      </c>
      <c r="AL41" s="89"/>
      <c r="AM41" s="89">
        <v>1</v>
      </c>
      <c r="AN41" s="89">
        <v>1</v>
      </c>
      <c r="AO41" s="89">
        <v>1</v>
      </c>
      <c r="AP41" s="89">
        <v>1</v>
      </c>
      <c r="AQ41" s="89">
        <v>1</v>
      </c>
      <c r="AR41" s="89"/>
      <c r="AS41" s="89"/>
      <c r="AT41" s="89"/>
      <c r="AU41" s="89"/>
      <c r="AV41" s="89">
        <v>1</v>
      </c>
      <c r="AW41" s="89"/>
      <c r="AX41" s="89">
        <v>1</v>
      </c>
      <c r="AY41" s="89"/>
      <c r="AZ41" s="95">
        <v>3</v>
      </c>
      <c r="BA41" s="89"/>
      <c r="BB41" s="89"/>
      <c r="BC41" s="89"/>
      <c r="BD41" s="89"/>
      <c r="BE41" s="89"/>
      <c r="BF41" s="89"/>
      <c r="BG41" s="89">
        <v>2</v>
      </c>
      <c r="BH41" s="89"/>
      <c r="BI41" s="89"/>
      <c r="BJ41" s="89"/>
      <c r="BK41" s="89"/>
      <c r="BL41" s="89"/>
      <c r="BM41" s="63">
        <f>SUM(M41:BL41)</f>
        <v>76</v>
      </c>
      <c r="BN41" s="90"/>
      <c r="BO41" s="90"/>
      <c r="BP41" s="90"/>
      <c r="BQ41" s="90"/>
      <c r="BR41" s="90"/>
      <c r="BS41" s="71">
        <v>0.36458333333333298</v>
      </c>
      <c r="BT41" s="81"/>
      <c r="BU41" s="81"/>
      <c r="BV41" s="56" t="s">
        <v>196</v>
      </c>
      <c r="BW41" s="91"/>
      <c r="BX41" s="68"/>
      <c r="BY41" s="68"/>
      <c r="BZ41" s="88" t="s">
        <v>28</v>
      </c>
      <c r="CA41" s="81"/>
      <c r="CB41" s="81"/>
      <c r="CC41" s="81" t="s">
        <v>186</v>
      </c>
      <c r="CD41" s="81" t="s">
        <v>26</v>
      </c>
      <c r="CE41" s="92"/>
      <c r="CF41" s="92"/>
      <c r="CG41" s="92"/>
      <c r="CH41" s="92"/>
      <c r="CI41" s="92"/>
    </row>
    <row r="42" spans="1:87" x14ac:dyDescent="0.2">
      <c r="A42" s="93" t="s">
        <v>59</v>
      </c>
      <c r="B42" s="59" t="s">
        <v>62</v>
      </c>
      <c r="C42" s="59" t="s">
        <v>63</v>
      </c>
      <c r="D42" s="60" t="s">
        <v>58</v>
      </c>
      <c r="E42" s="59" t="s">
        <v>60</v>
      </c>
      <c r="F42" s="59" t="s">
        <v>61</v>
      </c>
      <c r="G42" s="79"/>
      <c r="H42" s="79"/>
      <c r="I42" s="79"/>
      <c r="J42" s="79"/>
      <c r="K42" s="70" t="s">
        <v>58</v>
      </c>
      <c r="L42" s="74">
        <v>0.375</v>
      </c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75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76">
        <f>-SUM(BA5:BA41)</f>
        <v>-24</v>
      </c>
      <c r="BB42" s="76">
        <f>-SUM(BB5:BB41)</f>
        <v>-14</v>
      </c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92"/>
      <c r="BO42" s="92"/>
      <c r="BP42" s="92"/>
      <c r="BQ42" s="92"/>
      <c r="BR42" s="92"/>
      <c r="BS42" s="74">
        <v>0.375</v>
      </c>
      <c r="BT42" s="81"/>
      <c r="BU42" s="81"/>
      <c r="BV42" s="81" t="s">
        <v>197</v>
      </c>
      <c r="BW42" s="91"/>
      <c r="BX42" s="96" t="s">
        <v>198</v>
      </c>
      <c r="BY42" s="68"/>
      <c r="BZ42" s="88" t="s">
        <v>28</v>
      </c>
      <c r="CA42" s="81"/>
      <c r="CB42" s="81"/>
      <c r="CC42" s="81"/>
      <c r="CD42" s="81" t="s">
        <v>26</v>
      </c>
      <c r="CE42" s="92"/>
      <c r="CF42" s="92"/>
      <c r="CG42" s="92"/>
      <c r="CH42" s="92"/>
      <c r="CI42" s="92"/>
    </row>
    <row r="43" spans="1:87" x14ac:dyDescent="0.2">
      <c r="A43" s="93" t="s">
        <v>59</v>
      </c>
      <c r="B43" s="59" t="s">
        <v>62</v>
      </c>
      <c r="C43" s="59" t="s">
        <v>63</v>
      </c>
      <c r="D43" s="60" t="s">
        <v>58</v>
      </c>
      <c r="E43" s="59" t="s">
        <v>60</v>
      </c>
      <c r="F43" s="59" t="s">
        <v>61</v>
      </c>
      <c r="G43" s="79"/>
      <c r="H43" s="79"/>
      <c r="I43" s="79"/>
      <c r="J43" s="79"/>
      <c r="K43" s="70" t="s">
        <v>58</v>
      </c>
      <c r="L43" s="74">
        <v>0.38541666666666702</v>
      </c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92"/>
      <c r="BO43" s="92"/>
      <c r="BP43" s="92"/>
      <c r="BQ43" s="92"/>
      <c r="BR43" s="92"/>
      <c r="BS43" s="74">
        <v>0.38541666666666702</v>
      </c>
      <c r="BT43" s="81"/>
      <c r="BU43" s="81"/>
      <c r="BV43" s="81" t="s">
        <v>197</v>
      </c>
      <c r="BW43" s="91"/>
      <c r="BX43" s="68" t="s">
        <v>30</v>
      </c>
      <c r="BY43" s="68"/>
      <c r="BZ43" s="88" t="s">
        <v>28</v>
      </c>
      <c r="CA43" s="81"/>
      <c r="CB43" s="81"/>
      <c r="CC43" s="92"/>
      <c r="CD43" s="81" t="s">
        <v>26</v>
      </c>
      <c r="CE43" s="92"/>
      <c r="CF43" s="92"/>
      <c r="CG43" s="92"/>
      <c r="CH43" s="92"/>
      <c r="CI43" s="92"/>
    </row>
    <row r="44" spans="1:87" x14ac:dyDescent="0.2">
      <c r="A44" s="93" t="s">
        <v>59</v>
      </c>
      <c r="B44" s="59" t="s">
        <v>62</v>
      </c>
      <c r="C44" s="59" t="s">
        <v>63</v>
      </c>
      <c r="D44" s="60" t="s">
        <v>58</v>
      </c>
      <c r="E44" s="59" t="s">
        <v>60</v>
      </c>
      <c r="F44" s="59" t="s">
        <v>61</v>
      </c>
      <c r="G44" s="59" t="s">
        <v>64</v>
      </c>
      <c r="H44" s="79"/>
      <c r="I44" s="79"/>
      <c r="J44" s="79"/>
      <c r="K44" s="70" t="s">
        <v>58</v>
      </c>
      <c r="L44" s="74">
        <v>0.39583333333333298</v>
      </c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92"/>
      <c r="BO44" s="92"/>
      <c r="BP44" s="92"/>
      <c r="BQ44" s="92"/>
      <c r="BR44" s="92"/>
      <c r="BS44" s="74">
        <v>0.39583333333333298</v>
      </c>
      <c r="BT44" s="81"/>
      <c r="BU44" s="81"/>
      <c r="BV44" s="81" t="s">
        <v>197</v>
      </c>
      <c r="BW44" s="91"/>
      <c r="BX44" s="68" t="s">
        <v>30</v>
      </c>
      <c r="BY44" s="68"/>
      <c r="BZ44" s="88" t="s">
        <v>28</v>
      </c>
      <c r="CA44" s="81"/>
      <c r="CB44" s="81"/>
      <c r="CC44" s="92"/>
      <c r="CD44" s="81" t="s">
        <v>26</v>
      </c>
      <c r="CE44" s="92"/>
      <c r="CF44" s="92"/>
      <c r="CG44" s="92"/>
      <c r="CH44" s="92"/>
      <c r="CI44" s="92"/>
    </row>
    <row r="45" spans="1:87" x14ac:dyDescent="0.2">
      <c r="A45" s="57" t="s">
        <v>59</v>
      </c>
      <c r="B45" s="59" t="s">
        <v>62</v>
      </c>
      <c r="C45" s="59" t="s">
        <v>63</v>
      </c>
      <c r="D45" s="60" t="s">
        <v>58</v>
      </c>
      <c r="E45" s="59" t="s">
        <v>60</v>
      </c>
      <c r="F45" s="59" t="s">
        <v>61</v>
      </c>
      <c r="G45" s="59" t="s">
        <v>64</v>
      </c>
      <c r="H45" s="79"/>
      <c r="I45" s="79"/>
      <c r="J45" s="79"/>
      <c r="K45" s="70" t="s">
        <v>58</v>
      </c>
      <c r="L45" s="74">
        <v>0.40625</v>
      </c>
      <c r="M45" s="81">
        <v>11</v>
      </c>
      <c r="N45" s="81">
        <v>7</v>
      </c>
      <c r="O45" s="81"/>
      <c r="P45" s="81">
        <v>8</v>
      </c>
      <c r="Q45" s="81"/>
      <c r="R45" s="81">
        <v>3</v>
      </c>
      <c r="S45" s="81">
        <v>2</v>
      </c>
      <c r="T45" s="81">
        <v>6</v>
      </c>
      <c r="U45" s="81">
        <v>1</v>
      </c>
      <c r="V45" s="81"/>
      <c r="W45" s="81">
        <v>2</v>
      </c>
      <c r="X45" s="81">
        <v>3</v>
      </c>
      <c r="Y45" s="81">
        <v>3</v>
      </c>
      <c r="Z45" s="81">
        <v>3</v>
      </c>
      <c r="AA45" s="81">
        <v>1</v>
      </c>
      <c r="AB45" s="81">
        <v>3</v>
      </c>
      <c r="AC45" s="81">
        <v>1</v>
      </c>
      <c r="AD45" s="81"/>
      <c r="AE45" s="81"/>
      <c r="AF45" s="81">
        <v>4</v>
      </c>
      <c r="AG45" s="81">
        <v>1</v>
      </c>
      <c r="AH45" s="81"/>
      <c r="AI45" s="81">
        <v>2</v>
      </c>
      <c r="AJ45" s="81"/>
      <c r="AK45" s="81">
        <v>1</v>
      </c>
      <c r="AL45" s="81">
        <v>1</v>
      </c>
      <c r="AM45" s="81"/>
      <c r="AN45" s="81"/>
      <c r="AO45" s="81"/>
      <c r="AP45" s="81">
        <v>6</v>
      </c>
      <c r="AQ45" s="81">
        <v>2</v>
      </c>
      <c r="AR45" s="81"/>
      <c r="AS45" s="81">
        <v>1</v>
      </c>
      <c r="AT45" s="81"/>
      <c r="AU45" s="81"/>
      <c r="AV45" s="81">
        <v>3</v>
      </c>
      <c r="AW45" s="81"/>
      <c r="AX45" s="81">
        <v>9</v>
      </c>
      <c r="AY45" s="81">
        <v>2</v>
      </c>
      <c r="AZ45" s="81">
        <v>1</v>
      </c>
      <c r="BA45" s="81">
        <v>0</v>
      </c>
      <c r="BB45" s="81"/>
      <c r="BC45" s="81">
        <v>2</v>
      </c>
      <c r="BD45" s="81"/>
      <c r="BE45" s="81"/>
      <c r="BF45" s="81">
        <v>4</v>
      </c>
      <c r="BG45" s="81">
        <v>1</v>
      </c>
      <c r="BH45" s="81"/>
      <c r="BI45" s="81"/>
      <c r="BJ45" s="81"/>
      <c r="BK45" s="81"/>
      <c r="BL45" s="81"/>
      <c r="BM45" s="56">
        <f>SUM(M45:BL45)</f>
        <v>94</v>
      </c>
      <c r="BN45" s="92"/>
      <c r="BO45" s="92"/>
      <c r="BP45" s="92"/>
      <c r="BQ45" s="92"/>
      <c r="BR45" s="92"/>
      <c r="BS45" s="74">
        <v>0.40625</v>
      </c>
      <c r="BT45" s="81"/>
      <c r="BU45" s="81"/>
      <c r="BV45" s="81" t="s">
        <v>197</v>
      </c>
      <c r="BW45" s="91"/>
      <c r="BX45" s="68" t="s">
        <v>30</v>
      </c>
      <c r="BY45" s="68"/>
      <c r="BZ45" s="88" t="s">
        <v>28</v>
      </c>
      <c r="CA45" s="81"/>
      <c r="CB45" s="81"/>
      <c r="CC45" s="92"/>
      <c r="CD45" s="81" t="s">
        <v>26</v>
      </c>
      <c r="CE45" s="92"/>
      <c r="CF45" s="92"/>
      <c r="CG45" s="92"/>
      <c r="CH45" s="92"/>
      <c r="CI45" s="92"/>
    </row>
    <row r="46" spans="1:87" x14ac:dyDescent="0.2">
      <c r="A46" s="57" t="s">
        <v>59</v>
      </c>
      <c r="B46" s="59" t="s">
        <v>62</v>
      </c>
      <c r="C46" s="59" t="s">
        <v>63</v>
      </c>
      <c r="D46" s="79"/>
      <c r="E46" s="60" t="s">
        <v>60</v>
      </c>
      <c r="F46" s="59" t="s">
        <v>61</v>
      </c>
      <c r="G46" s="59" t="s">
        <v>64</v>
      </c>
      <c r="H46" s="79"/>
      <c r="I46" s="79"/>
      <c r="J46" s="79"/>
      <c r="K46" s="70" t="s">
        <v>59</v>
      </c>
      <c r="L46" s="71">
        <v>0.41666666666666702</v>
      </c>
      <c r="M46" s="89"/>
      <c r="N46" s="89"/>
      <c r="O46" s="89"/>
      <c r="P46" s="89"/>
      <c r="Q46" s="89"/>
      <c r="R46" s="89"/>
      <c r="S46" s="89"/>
      <c r="T46" s="64">
        <f>-SUM(T5:T45)</f>
        <v>-123</v>
      </c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64">
        <f>-SUM(AL5:AL45)</f>
        <v>-10</v>
      </c>
      <c r="AM46" s="64">
        <f>-SUM(AM5:AM45)</f>
        <v>-29</v>
      </c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90"/>
      <c r="BO46" s="90"/>
      <c r="BP46" s="90"/>
      <c r="BQ46" s="90"/>
      <c r="BR46" s="90"/>
      <c r="BS46" s="71">
        <v>0.41666666666666702</v>
      </c>
      <c r="BT46" s="81" t="s">
        <v>199</v>
      </c>
      <c r="BU46" s="81" t="s">
        <v>200</v>
      </c>
      <c r="BV46" s="1"/>
      <c r="BW46" s="81"/>
      <c r="BX46" s="97" t="s">
        <v>30</v>
      </c>
      <c r="BY46" s="82" t="s">
        <v>201</v>
      </c>
      <c r="BZ46" s="81" t="s">
        <v>28</v>
      </c>
      <c r="CA46" s="81"/>
      <c r="CB46" s="81"/>
      <c r="CC46" s="83" t="s">
        <v>202</v>
      </c>
      <c r="CD46" s="81" t="s">
        <v>26</v>
      </c>
      <c r="CE46" s="92"/>
      <c r="CF46" s="92"/>
      <c r="CG46" s="92"/>
      <c r="CH46" s="92"/>
      <c r="CI46" s="92"/>
    </row>
    <row r="47" spans="1:87" x14ac:dyDescent="0.2">
      <c r="A47" s="57" t="s">
        <v>59</v>
      </c>
      <c r="B47" s="59" t="s">
        <v>62</v>
      </c>
      <c r="C47" s="59" t="s">
        <v>63</v>
      </c>
      <c r="D47" s="79"/>
      <c r="E47" s="60" t="s">
        <v>60</v>
      </c>
      <c r="F47" s="59" t="s">
        <v>61</v>
      </c>
      <c r="G47" s="59" t="s">
        <v>64</v>
      </c>
      <c r="H47" s="79"/>
      <c r="I47" s="79"/>
      <c r="J47" s="79"/>
      <c r="K47" s="70" t="s">
        <v>59</v>
      </c>
      <c r="L47" s="71">
        <v>0.42708333333333298</v>
      </c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90"/>
      <c r="BO47" s="90"/>
      <c r="BP47" s="90"/>
      <c r="BQ47" s="90"/>
      <c r="BR47" s="90"/>
      <c r="BS47" s="71">
        <v>0.42708333333333298</v>
      </c>
      <c r="BT47" s="81" t="s">
        <v>199</v>
      </c>
      <c r="BU47" s="81" t="s">
        <v>200</v>
      </c>
      <c r="BV47" s="1"/>
      <c r="BW47" s="81"/>
      <c r="BX47" s="81" t="s">
        <v>30</v>
      </c>
      <c r="BY47" s="81" t="s">
        <v>33</v>
      </c>
      <c r="BZ47" s="81" t="s">
        <v>28</v>
      </c>
      <c r="CA47" s="81"/>
      <c r="CB47" s="81"/>
      <c r="CC47" s="81" t="s">
        <v>35</v>
      </c>
      <c r="CD47" s="81" t="s">
        <v>26</v>
      </c>
      <c r="CE47" s="92"/>
      <c r="CF47" s="92"/>
      <c r="CG47" s="92"/>
      <c r="CH47" s="92"/>
      <c r="CI47" s="92"/>
    </row>
    <row r="48" spans="1:87" x14ac:dyDescent="0.2">
      <c r="A48" s="57" t="s">
        <v>59</v>
      </c>
      <c r="B48" s="59" t="s">
        <v>62</v>
      </c>
      <c r="C48" s="59" t="s">
        <v>63</v>
      </c>
      <c r="D48" s="79"/>
      <c r="E48" s="60" t="s">
        <v>60</v>
      </c>
      <c r="F48" s="60" t="s">
        <v>61</v>
      </c>
      <c r="G48" s="59" t="s">
        <v>64</v>
      </c>
      <c r="H48" s="79"/>
      <c r="I48" s="79"/>
      <c r="J48" s="79"/>
      <c r="K48" s="70" t="s">
        <v>59</v>
      </c>
      <c r="L48" s="71">
        <v>0.4375</v>
      </c>
      <c r="M48" s="87">
        <f>-SUM(M5:M47)</f>
        <v>-49</v>
      </c>
      <c r="N48" s="89"/>
      <c r="O48" s="89"/>
      <c r="P48" s="87">
        <f>-SUM(P5:P47)</f>
        <v>-50</v>
      </c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90"/>
      <c r="BO48" s="90"/>
      <c r="BP48" s="90"/>
      <c r="BQ48" s="90"/>
      <c r="BR48" s="90"/>
      <c r="BS48" s="71">
        <v>0.4375</v>
      </c>
      <c r="BT48" s="81" t="s">
        <v>199</v>
      </c>
      <c r="BU48" s="81" t="s">
        <v>200</v>
      </c>
      <c r="BV48" s="81" t="s">
        <v>203</v>
      </c>
      <c r="BW48" s="81"/>
      <c r="BX48" s="81" t="s">
        <v>30</v>
      </c>
      <c r="BY48" s="81" t="s">
        <v>33</v>
      </c>
      <c r="BZ48" s="81" t="s">
        <v>28</v>
      </c>
      <c r="CA48" s="83" t="s">
        <v>204</v>
      </c>
      <c r="CB48" s="81"/>
      <c r="CC48" s="81" t="s">
        <v>35</v>
      </c>
      <c r="CD48" s="92"/>
      <c r="CE48" s="92"/>
      <c r="CF48" s="92"/>
      <c r="CG48" s="92"/>
      <c r="CH48" s="92"/>
      <c r="CI48" s="92"/>
    </row>
    <row r="49" spans="1:87" x14ac:dyDescent="0.2">
      <c r="A49" s="98"/>
      <c r="B49" s="59" t="s">
        <v>62</v>
      </c>
      <c r="C49" s="59" t="s">
        <v>63</v>
      </c>
      <c r="D49" s="79"/>
      <c r="E49" s="60" t="s">
        <v>60</v>
      </c>
      <c r="F49" s="60" t="s">
        <v>61</v>
      </c>
      <c r="G49" s="59" t="s">
        <v>64</v>
      </c>
      <c r="H49" s="79"/>
      <c r="I49" s="79"/>
      <c r="J49" s="79"/>
      <c r="K49" s="70" t="s">
        <v>59</v>
      </c>
      <c r="L49" s="71">
        <v>0.44791666666666702</v>
      </c>
      <c r="M49" s="89">
        <v>0</v>
      </c>
      <c r="N49" s="89">
        <v>6</v>
      </c>
      <c r="O49" s="89"/>
      <c r="P49" s="89">
        <v>0</v>
      </c>
      <c r="Q49" s="89">
        <v>2</v>
      </c>
      <c r="R49" s="89">
        <v>1</v>
      </c>
      <c r="S49" s="89">
        <v>2</v>
      </c>
      <c r="T49" s="89">
        <v>0</v>
      </c>
      <c r="U49" s="89"/>
      <c r="V49" s="89"/>
      <c r="W49" s="89">
        <v>1</v>
      </c>
      <c r="X49" s="89"/>
      <c r="Y49" s="89">
        <v>2</v>
      </c>
      <c r="Z49" s="89"/>
      <c r="AA49" s="89"/>
      <c r="AB49" s="89"/>
      <c r="AC49" s="89">
        <v>1</v>
      </c>
      <c r="AD49" s="89"/>
      <c r="AE49" s="89"/>
      <c r="AF49" s="89"/>
      <c r="AG49" s="89">
        <v>6</v>
      </c>
      <c r="AH49" s="89">
        <v>3</v>
      </c>
      <c r="AI49" s="89">
        <v>1</v>
      </c>
      <c r="AJ49" s="89">
        <v>1</v>
      </c>
      <c r="AK49" s="89"/>
      <c r="AL49" s="89">
        <v>0</v>
      </c>
      <c r="AM49" s="89">
        <v>0</v>
      </c>
      <c r="AN49" s="89">
        <v>1</v>
      </c>
      <c r="AO49" s="89"/>
      <c r="AP49" s="89">
        <v>15</v>
      </c>
      <c r="AQ49" s="89">
        <v>2</v>
      </c>
      <c r="AR49" s="89">
        <v>3</v>
      </c>
      <c r="AS49" s="89">
        <v>1</v>
      </c>
      <c r="AT49" s="89">
        <v>1</v>
      </c>
      <c r="AU49" s="89">
        <v>2</v>
      </c>
      <c r="AV49" s="89">
        <v>1</v>
      </c>
      <c r="AW49" s="89">
        <v>1</v>
      </c>
      <c r="AX49" s="89"/>
      <c r="AY49" s="89"/>
      <c r="AZ49" s="89">
        <v>3</v>
      </c>
      <c r="BA49" s="89"/>
      <c r="BB49" s="89">
        <v>1</v>
      </c>
      <c r="BC49" s="89">
        <v>1</v>
      </c>
      <c r="BD49" s="89"/>
      <c r="BE49" s="89"/>
      <c r="BF49" s="89">
        <v>9</v>
      </c>
      <c r="BG49" s="89">
        <v>3</v>
      </c>
      <c r="BH49" s="89">
        <v>6</v>
      </c>
      <c r="BI49" s="89">
        <v>9</v>
      </c>
      <c r="BJ49" s="89">
        <v>4</v>
      </c>
      <c r="BK49" s="89"/>
      <c r="BL49" s="89"/>
      <c r="BM49" s="63">
        <f>SUM(M49:BL49)</f>
        <v>89</v>
      </c>
      <c r="BN49" s="90"/>
      <c r="BO49" s="90"/>
      <c r="BP49" s="90"/>
      <c r="BQ49" s="90"/>
      <c r="BR49" s="90"/>
      <c r="BS49" s="71">
        <v>0.44791666666666702</v>
      </c>
      <c r="BT49" s="81" t="s">
        <v>199</v>
      </c>
      <c r="BU49" s="81" t="s">
        <v>200</v>
      </c>
      <c r="BV49" s="81" t="s">
        <v>203</v>
      </c>
      <c r="BW49" s="81"/>
      <c r="BX49" s="81" t="s">
        <v>30</v>
      </c>
      <c r="BY49" s="81" t="s">
        <v>33</v>
      </c>
      <c r="BZ49" s="81" t="s">
        <v>28</v>
      </c>
      <c r="CA49" s="81" t="s">
        <v>36</v>
      </c>
      <c r="CB49" s="81"/>
      <c r="CC49" s="81" t="s">
        <v>35</v>
      </c>
      <c r="CD49" s="92"/>
      <c r="CE49" s="92"/>
      <c r="CF49" s="92"/>
      <c r="CG49" s="92"/>
      <c r="CH49" s="92"/>
      <c r="CI49" s="92"/>
    </row>
    <row r="50" spans="1:87" x14ac:dyDescent="0.2">
      <c r="A50" s="98"/>
      <c r="B50" s="59" t="s">
        <v>62</v>
      </c>
      <c r="C50" s="59" t="s">
        <v>63</v>
      </c>
      <c r="D50" s="79"/>
      <c r="E50" s="60" t="s">
        <v>60</v>
      </c>
      <c r="F50" s="60" t="s">
        <v>61</v>
      </c>
      <c r="G50" s="59" t="s">
        <v>64</v>
      </c>
      <c r="H50" s="79"/>
      <c r="I50" s="79"/>
      <c r="J50" s="79"/>
      <c r="K50" s="70" t="s">
        <v>60</v>
      </c>
      <c r="L50" s="74">
        <v>0.45833333333333298</v>
      </c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92"/>
      <c r="BO50" s="92"/>
      <c r="BP50" s="92"/>
      <c r="BQ50" s="92"/>
      <c r="BR50" s="92"/>
      <c r="BS50" s="74">
        <v>0.45833333333333298</v>
      </c>
      <c r="BT50" s="81"/>
      <c r="BU50" s="81"/>
      <c r="BV50" s="81" t="s">
        <v>203</v>
      </c>
      <c r="BW50" s="81"/>
      <c r="BX50" s="81" t="s">
        <v>30</v>
      </c>
      <c r="BY50" s="81" t="s">
        <v>33</v>
      </c>
      <c r="BZ50" s="1"/>
      <c r="CA50" s="81" t="s">
        <v>36</v>
      </c>
      <c r="CB50" s="81"/>
      <c r="CC50" s="81" t="s">
        <v>35</v>
      </c>
      <c r="CD50" s="92"/>
      <c r="CE50" s="92"/>
      <c r="CF50" s="92"/>
      <c r="CG50" s="92"/>
      <c r="CH50" s="92"/>
      <c r="CI50" s="92"/>
    </row>
    <row r="51" spans="1:87" x14ac:dyDescent="0.2">
      <c r="A51" s="98"/>
      <c r="B51" s="59" t="s">
        <v>62</v>
      </c>
      <c r="C51" s="59" t="s">
        <v>63</v>
      </c>
      <c r="D51" s="79"/>
      <c r="E51" s="60" t="s">
        <v>60</v>
      </c>
      <c r="F51" s="60" t="s">
        <v>61</v>
      </c>
      <c r="G51" s="59" t="s">
        <v>64</v>
      </c>
      <c r="H51" s="79"/>
      <c r="I51" s="79"/>
      <c r="J51" s="79"/>
      <c r="K51" s="70" t="s">
        <v>60</v>
      </c>
      <c r="L51" s="74">
        <v>0.46875</v>
      </c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92"/>
      <c r="BO51" s="92"/>
      <c r="BP51" s="92"/>
      <c r="BQ51" s="92"/>
      <c r="BR51" s="92"/>
      <c r="BS51" s="74">
        <v>0.46875</v>
      </c>
      <c r="BT51" s="81"/>
      <c r="BU51" s="81"/>
      <c r="BV51" s="81" t="s">
        <v>203</v>
      </c>
      <c r="BW51" s="81"/>
      <c r="BX51" s="81" t="s">
        <v>30</v>
      </c>
      <c r="BY51" s="81" t="s">
        <v>33</v>
      </c>
      <c r="BZ51" s="1"/>
      <c r="CA51" s="81" t="s">
        <v>36</v>
      </c>
      <c r="CB51" s="81"/>
      <c r="CC51" s="81" t="s">
        <v>35</v>
      </c>
      <c r="CD51" s="92"/>
      <c r="CE51" s="92"/>
      <c r="CF51" s="92"/>
      <c r="CG51" s="92"/>
      <c r="CH51" s="92"/>
      <c r="CI51" s="92"/>
    </row>
    <row r="52" spans="1:87" x14ac:dyDescent="0.2">
      <c r="A52" s="98"/>
      <c r="B52" s="60" t="s">
        <v>62</v>
      </c>
      <c r="C52" s="59" t="s">
        <v>63</v>
      </c>
      <c r="D52" s="79"/>
      <c r="E52" s="60" t="s">
        <v>60</v>
      </c>
      <c r="F52" s="60" t="s">
        <v>61</v>
      </c>
      <c r="G52" s="59" t="s">
        <v>64</v>
      </c>
      <c r="H52" s="79"/>
      <c r="I52" s="79"/>
      <c r="J52" s="79"/>
      <c r="K52" s="70" t="s">
        <v>60</v>
      </c>
      <c r="L52" s="74">
        <v>0.47916666666666702</v>
      </c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92"/>
      <c r="BO52" s="92"/>
      <c r="BP52" s="92"/>
      <c r="BQ52" s="92"/>
      <c r="BR52" s="92"/>
      <c r="BS52" s="74">
        <v>0.47916666666666702</v>
      </c>
      <c r="BT52" s="81"/>
      <c r="BU52" s="81"/>
      <c r="BV52" s="81"/>
      <c r="BW52" s="81"/>
      <c r="BX52" s="81" t="s">
        <v>30</v>
      </c>
      <c r="BY52" s="81" t="s">
        <v>33</v>
      </c>
      <c r="BZ52" s="1"/>
      <c r="CA52" s="81" t="s">
        <v>36</v>
      </c>
      <c r="CB52" s="81"/>
      <c r="CC52" s="81" t="s">
        <v>35</v>
      </c>
      <c r="CD52" s="92"/>
      <c r="CE52" s="92"/>
      <c r="CF52" s="92"/>
      <c r="CG52" s="92"/>
      <c r="CH52" s="92"/>
      <c r="CI52" s="92"/>
    </row>
    <row r="53" spans="1:87" x14ac:dyDescent="0.2">
      <c r="A53" s="98"/>
      <c r="B53" s="60" t="s">
        <v>62</v>
      </c>
      <c r="C53" s="59" t="s">
        <v>63</v>
      </c>
      <c r="D53" s="79"/>
      <c r="E53" s="60" t="s">
        <v>60</v>
      </c>
      <c r="F53" s="60" t="s">
        <v>61</v>
      </c>
      <c r="G53" s="59" t="s">
        <v>64</v>
      </c>
      <c r="H53" s="79"/>
      <c r="I53" s="79"/>
      <c r="J53" s="79"/>
      <c r="K53" s="70" t="s">
        <v>60</v>
      </c>
      <c r="L53" s="74">
        <v>0.48958333333333298</v>
      </c>
      <c r="M53" s="81">
        <v>1</v>
      </c>
      <c r="N53" s="81">
        <v>3</v>
      </c>
      <c r="O53" s="81"/>
      <c r="P53" s="81">
        <v>1</v>
      </c>
      <c r="Q53" s="81">
        <v>4</v>
      </c>
      <c r="R53" s="81">
        <v>4</v>
      </c>
      <c r="S53" s="81">
        <v>4</v>
      </c>
      <c r="T53" s="81">
        <v>3</v>
      </c>
      <c r="U53" s="81"/>
      <c r="V53" s="81">
        <v>1</v>
      </c>
      <c r="W53" s="81">
        <v>5</v>
      </c>
      <c r="X53" s="81">
        <v>5</v>
      </c>
      <c r="Y53" s="81">
        <v>2</v>
      </c>
      <c r="Z53" s="81">
        <v>1</v>
      </c>
      <c r="AA53" s="81">
        <v>1</v>
      </c>
      <c r="AB53" s="81">
        <v>1</v>
      </c>
      <c r="AC53" s="81">
        <v>2</v>
      </c>
      <c r="AD53" s="81">
        <v>1</v>
      </c>
      <c r="AE53" s="81"/>
      <c r="AF53" s="81">
        <v>1</v>
      </c>
      <c r="AG53" s="81">
        <v>4</v>
      </c>
      <c r="AH53" s="81">
        <v>2</v>
      </c>
      <c r="AI53" s="81">
        <v>2</v>
      </c>
      <c r="AJ53" s="81">
        <v>1</v>
      </c>
      <c r="AK53" s="81">
        <v>4</v>
      </c>
      <c r="AL53" s="81">
        <v>1</v>
      </c>
      <c r="AM53" s="81"/>
      <c r="AN53" s="81">
        <v>1</v>
      </c>
      <c r="AO53" s="81">
        <v>1</v>
      </c>
      <c r="AP53" s="81">
        <v>3</v>
      </c>
      <c r="AQ53" s="81">
        <v>2</v>
      </c>
      <c r="AR53" s="81"/>
      <c r="AS53" s="81">
        <v>2</v>
      </c>
      <c r="AT53" s="81"/>
      <c r="AU53" s="81"/>
      <c r="AV53" s="81">
        <v>2</v>
      </c>
      <c r="AW53" s="81">
        <v>2</v>
      </c>
      <c r="AX53" s="81">
        <v>2</v>
      </c>
      <c r="AY53" s="81">
        <v>2</v>
      </c>
      <c r="AZ53" s="81"/>
      <c r="BA53" s="81">
        <v>1</v>
      </c>
      <c r="BB53" s="81"/>
      <c r="BC53" s="81">
        <v>2</v>
      </c>
      <c r="BD53" s="81">
        <v>3</v>
      </c>
      <c r="BE53" s="81"/>
      <c r="BF53" s="81">
        <v>3</v>
      </c>
      <c r="BG53" s="81">
        <v>2</v>
      </c>
      <c r="BH53" s="81"/>
      <c r="BI53" s="81"/>
      <c r="BJ53" s="81"/>
      <c r="BK53" s="81"/>
      <c r="BL53" s="81"/>
      <c r="BM53" s="56">
        <f>SUM(M53:BL53)</f>
        <v>82</v>
      </c>
      <c r="BN53" s="92"/>
      <c r="BO53" s="92"/>
      <c r="BP53" s="92"/>
      <c r="BQ53" s="92"/>
      <c r="BR53" s="92"/>
      <c r="BS53" s="74">
        <v>0.48958333333333298</v>
      </c>
      <c r="BT53" s="81"/>
      <c r="BU53" s="81"/>
      <c r="BV53" s="81"/>
      <c r="BW53" s="81"/>
      <c r="BX53" s="81" t="s">
        <v>30</v>
      </c>
      <c r="BY53" s="81" t="s">
        <v>33</v>
      </c>
      <c r="BZ53" s="1"/>
      <c r="CA53" s="81" t="s">
        <v>36</v>
      </c>
      <c r="CB53" s="81"/>
      <c r="CC53" s="81" t="s">
        <v>35</v>
      </c>
      <c r="CD53" s="92"/>
      <c r="CE53" s="92"/>
      <c r="CF53" s="92"/>
      <c r="CG53" s="92"/>
      <c r="CH53" s="92"/>
      <c r="CI53" s="92"/>
    </row>
    <row r="54" spans="1:87" x14ac:dyDescent="0.2">
      <c r="A54" s="93" t="s">
        <v>65</v>
      </c>
      <c r="B54" s="60" t="s">
        <v>62</v>
      </c>
      <c r="C54" s="60" t="s">
        <v>63</v>
      </c>
      <c r="D54" s="59" t="s">
        <v>66</v>
      </c>
      <c r="E54" s="79"/>
      <c r="F54" s="60" t="s">
        <v>61</v>
      </c>
      <c r="G54" s="59" t="s">
        <v>64</v>
      </c>
      <c r="H54" s="79"/>
      <c r="I54" s="79"/>
      <c r="J54" s="79"/>
      <c r="K54" s="70" t="s">
        <v>61</v>
      </c>
      <c r="L54" s="71">
        <v>0.5</v>
      </c>
      <c r="M54" s="89"/>
      <c r="N54" s="87">
        <f>-SUM(N5:N53)</f>
        <v>-83</v>
      </c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64">
        <f>-SUM(BF5:BF53)</f>
        <v>-57</v>
      </c>
      <c r="BG54" s="89"/>
      <c r="BH54" s="89"/>
      <c r="BI54" s="89"/>
      <c r="BJ54" s="89"/>
      <c r="BK54" s="87"/>
      <c r="BL54" s="89"/>
      <c r="BM54" s="89"/>
      <c r="BN54" s="90"/>
      <c r="BO54" s="90"/>
      <c r="BP54" s="90"/>
      <c r="BQ54" s="90"/>
      <c r="BR54" s="90"/>
      <c r="BS54" s="71">
        <v>0.5</v>
      </c>
      <c r="BT54" s="81" t="s">
        <v>205</v>
      </c>
      <c r="BU54" s="81" t="s">
        <v>206</v>
      </c>
      <c r="BV54" s="81" t="s">
        <v>207</v>
      </c>
      <c r="BW54" s="81"/>
      <c r="BX54" s="81" t="s">
        <v>30</v>
      </c>
      <c r="BY54" s="81" t="s">
        <v>33</v>
      </c>
      <c r="BZ54" s="83" t="s">
        <v>208</v>
      </c>
      <c r="CA54" s="81" t="s">
        <v>36</v>
      </c>
      <c r="CB54" s="83" t="s">
        <v>209</v>
      </c>
      <c r="CC54" s="81" t="s">
        <v>35</v>
      </c>
      <c r="CD54" s="92"/>
      <c r="CE54" s="92"/>
      <c r="CF54" s="92"/>
      <c r="CG54" s="92"/>
      <c r="CH54" s="92"/>
      <c r="CI54" s="92"/>
    </row>
    <row r="55" spans="1:87" x14ac:dyDescent="0.2">
      <c r="A55" s="93" t="s">
        <v>65</v>
      </c>
      <c r="B55" s="60" t="s">
        <v>62</v>
      </c>
      <c r="C55" s="60" t="s">
        <v>63</v>
      </c>
      <c r="D55" s="59" t="s">
        <v>66</v>
      </c>
      <c r="E55" s="79"/>
      <c r="F55" s="60" t="s">
        <v>61</v>
      </c>
      <c r="G55" s="59" t="s">
        <v>64</v>
      </c>
      <c r="H55" s="79"/>
      <c r="I55" s="79"/>
      <c r="J55" s="79"/>
      <c r="K55" s="70" t="s">
        <v>61</v>
      </c>
      <c r="L55" s="71">
        <v>0.51041666666666696</v>
      </c>
      <c r="M55" s="89"/>
      <c r="N55" s="87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90"/>
      <c r="BO55" s="90"/>
      <c r="BP55" s="90"/>
      <c r="BQ55" s="90"/>
      <c r="BR55" s="90"/>
      <c r="BS55" s="71">
        <v>0.51041666666666696</v>
      </c>
      <c r="BT55" s="81" t="s">
        <v>205</v>
      </c>
      <c r="BU55" s="81" t="s">
        <v>206</v>
      </c>
      <c r="BV55" s="81" t="s">
        <v>207</v>
      </c>
      <c r="BW55" s="81"/>
      <c r="BX55" s="81" t="s">
        <v>30</v>
      </c>
      <c r="BY55" s="81" t="s">
        <v>33</v>
      </c>
      <c r="BZ55" s="81" t="s">
        <v>38</v>
      </c>
      <c r="CA55" s="81" t="s">
        <v>36</v>
      </c>
      <c r="CB55" s="81" t="s">
        <v>41</v>
      </c>
      <c r="CC55" s="81" t="s">
        <v>35</v>
      </c>
      <c r="CD55" s="92"/>
      <c r="CE55" s="92"/>
      <c r="CF55" s="92"/>
      <c r="CG55" s="92"/>
      <c r="CH55" s="92"/>
      <c r="CI55" s="92"/>
    </row>
    <row r="56" spans="1:87" x14ac:dyDescent="0.2">
      <c r="A56" s="93" t="s">
        <v>65</v>
      </c>
      <c r="B56" s="60" t="s">
        <v>62</v>
      </c>
      <c r="C56" s="60" t="s">
        <v>63</v>
      </c>
      <c r="D56" s="59" t="s">
        <v>66</v>
      </c>
      <c r="E56" s="79"/>
      <c r="F56" s="60" t="s">
        <v>61</v>
      </c>
      <c r="G56" s="60" t="s">
        <v>64</v>
      </c>
      <c r="H56" s="79"/>
      <c r="I56" s="79"/>
      <c r="J56" s="79"/>
      <c r="K56" s="70" t="s">
        <v>61</v>
      </c>
      <c r="L56" s="71">
        <v>0.52083333333333304</v>
      </c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90"/>
      <c r="BO56" s="90"/>
      <c r="BP56" s="90"/>
      <c r="BQ56" s="90"/>
      <c r="BR56" s="90"/>
      <c r="BS56" s="71">
        <v>0.52083333333333304</v>
      </c>
      <c r="BT56" s="81" t="s">
        <v>205</v>
      </c>
      <c r="BU56" s="81" t="s">
        <v>206</v>
      </c>
      <c r="BV56" s="81" t="s">
        <v>207</v>
      </c>
      <c r="BW56" s="81"/>
      <c r="BX56" s="81" t="s">
        <v>30</v>
      </c>
      <c r="BY56" s="81" t="s">
        <v>33</v>
      </c>
      <c r="BZ56" s="81" t="s">
        <v>38</v>
      </c>
      <c r="CA56" s="81" t="s">
        <v>36</v>
      </c>
      <c r="CB56" s="81" t="s">
        <v>41</v>
      </c>
      <c r="CC56" s="81" t="s">
        <v>35</v>
      </c>
      <c r="CD56" s="92"/>
      <c r="CE56" s="92"/>
      <c r="CF56" s="92"/>
      <c r="CG56" s="92"/>
      <c r="CH56" s="92"/>
      <c r="CI56" s="92"/>
    </row>
    <row r="57" spans="1:87" x14ac:dyDescent="0.2">
      <c r="A57" s="93" t="s">
        <v>65</v>
      </c>
      <c r="B57" s="60" t="s">
        <v>62</v>
      </c>
      <c r="C57" s="60" t="s">
        <v>63</v>
      </c>
      <c r="D57" s="59" t="s">
        <v>66</v>
      </c>
      <c r="E57" s="79"/>
      <c r="F57" s="60" t="s">
        <v>61</v>
      </c>
      <c r="G57" s="60" t="s">
        <v>64</v>
      </c>
      <c r="H57" s="79"/>
      <c r="I57" s="79"/>
      <c r="J57" s="79"/>
      <c r="K57" s="70" t="s">
        <v>61</v>
      </c>
      <c r="L57" s="71">
        <v>0.53125</v>
      </c>
      <c r="M57" s="89">
        <v>2</v>
      </c>
      <c r="N57" s="89">
        <v>0</v>
      </c>
      <c r="O57" s="89">
        <v>1</v>
      </c>
      <c r="P57" s="89">
        <v>2</v>
      </c>
      <c r="Q57" s="89">
        <v>1</v>
      </c>
      <c r="R57" s="89">
        <v>1</v>
      </c>
      <c r="S57" s="89">
        <v>2</v>
      </c>
      <c r="T57" s="89">
        <v>4</v>
      </c>
      <c r="U57" s="89">
        <v>2</v>
      </c>
      <c r="V57" s="89"/>
      <c r="W57" s="89"/>
      <c r="X57" s="89">
        <v>2</v>
      </c>
      <c r="Y57" s="89">
        <v>7</v>
      </c>
      <c r="Z57" s="89">
        <v>5</v>
      </c>
      <c r="AA57" s="89">
        <v>1</v>
      </c>
      <c r="AB57" s="89">
        <v>1</v>
      </c>
      <c r="AC57" s="89">
        <v>1</v>
      </c>
      <c r="AD57" s="89"/>
      <c r="AE57" s="89"/>
      <c r="AF57" s="89">
        <v>1</v>
      </c>
      <c r="AG57" s="89">
        <v>2</v>
      </c>
      <c r="AH57" s="89"/>
      <c r="AI57" s="89">
        <v>1</v>
      </c>
      <c r="AJ57" s="89"/>
      <c r="AK57" s="89"/>
      <c r="AL57" s="89"/>
      <c r="AM57" s="89">
        <v>1</v>
      </c>
      <c r="AN57" s="89">
        <v>2</v>
      </c>
      <c r="AO57" s="89"/>
      <c r="AP57" s="89">
        <v>7</v>
      </c>
      <c r="AQ57" s="89"/>
      <c r="AR57" s="89"/>
      <c r="AS57" s="89">
        <v>1</v>
      </c>
      <c r="AT57" s="89"/>
      <c r="AU57" s="89">
        <v>1</v>
      </c>
      <c r="AV57" s="89">
        <v>2</v>
      </c>
      <c r="AW57" s="89">
        <v>1</v>
      </c>
      <c r="AX57" s="89">
        <v>1</v>
      </c>
      <c r="AY57" s="89">
        <v>6</v>
      </c>
      <c r="AZ57" s="89">
        <v>5</v>
      </c>
      <c r="BA57" s="89">
        <v>1</v>
      </c>
      <c r="BB57" s="89"/>
      <c r="BC57" s="89">
        <v>2</v>
      </c>
      <c r="BD57" s="89"/>
      <c r="BE57" s="89"/>
      <c r="BF57" s="89">
        <v>0</v>
      </c>
      <c r="BG57" s="89">
        <v>2</v>
      </c>
      <c r="BH57" s="89">
        <v>5</v>
      </c>
      <c r="BI57" s="89"/>
      <c r="BJ57" s="89"/>
      <c r="BK57" s="89">
        <v>2</v>
      </c>
      <c r="BL57" s="89"/>
      <c r="BM57" s="63">
        <f>SUM(M57:BL57)</f>
        <v>75</v>
      </c>
      <c r="BN57" s="90"/>
      <c r="BO57" s="90"/>
      <c r="BP57" s="90"/>
      <c r="BQ57" s="90"/>
      <c r="BR57" s="90"/>
      <c r="BS57" s="71">
        <v>0.53125</v>
      </c>
      <c r="BT57" s="81" t="s">
        <v>205</v>
      </c>
      <c r="BU57" s="81" t="s">
        <v>206</v>
      </c>
      <c r="BV57" s="81" t="s">
        <v>207</v>
      </c>
      <c r="BW57" s="81"/>
      <c r="BX57" s="85" t="s">
        <v>30</v>
      </c>
      <c r="BY57" s="81" t="s">
        <v>33</v>
      </c>
      <c r="BZ57" s="81" t="s">
        <v>38</v>
      </c>
      <c r="CA57" s="81" t="s">
        <v>36</v>
      </c>
      <c r="CB57" s="81" t="s">
        <v>41</v>
      </c>
      <c r="CC57" s="81" t="s">
        <v>35</v>
      </c>
      <c r="CD57" s="92"/>
      <c r="CE57" s="92"/>
      <c r="CF57" s="92"/>
      <c r="CG57" s="92"/>
      <c r="CH57" s="92"/>
      <c r="CI57" s="92"/>
    </row>
    <row r="58" spans="1:87" x14ac:dyDescent="0.2">
      <c r="A58" s="93" t="s">
        <v>65</v>
      </c>
      <c r="B58" s="60" t="s">
        <v>62</v>
      </c>
      <c r="C58" s="60" t="s">
        <v>63</v>
      </c>
      <c r="D58" s="59" t="s">
        <v>66</v>
      </c>
      <c r="E58" s="79"/>
      <c r="F58" s="79"/>
      <c r="G58" s="60" t="s">
        <v>64</v>
      </c>
      <c r="H58" s="79"/>
      <c r="I58" s="79"/>
      <c r="J58" s="79"/>
      <c r="K58" s="70" t="s">
        <v>62</v>
      </c>
      <c r="L58" s="74">
        <v>0.54166666666666696</v>
      </c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76">
        <f>-SUM(BC5:BC57)</f>
        <v>-62</v>
      </c>
      <c r="BD58" s="81"/>
      <c r="BE58" s="76">
        <f>-SUM(BE5:BE57)</f>
        <v>-13</v>
      </c>
      <c r="BF58" s="81"/>
      <c r="BG58" s="81"/>
      <c r="BH58" s="76">
        <f>-SUM(BH57)</f>
        <v>-5</v>
      </c>
      <c r="BI58" s="81"/>
      <c r="BJ58" s="81"/>
      <c r="BK58" s="76" t="s">
        <v>210</v>
      </c>
      <c r="BL58" s="81"/>
      <c r="BM58" s="81"/>
      <c r="BN58" s="92"/>
      <c r="BO58" s="92"/>
      <c r="BP58" s="92"/>
      <c r="BQ58" s="92"/>
      <c r="BR58" s="92"/>
      <c r="BS58" s="74">
        <v>0.54166666666666696</v>
      </c>
      <c r="BT58" s="81" t="s">
        <v>211</v>
      </c>
      <c r="BU58" s="81" t="s">
        <v>212</v>
      </c>
      <c r="BV58" s="81" t="s">
        <v>213</v>
      </c>
      <c r="BW58" s="91"/>
      <c r="BX58" s="68"/>
      <c r="BY58" s="88" t="s">
        <v>33</v>
      </c>
      <c r="BZ58" s="81" t="s">
        <v>38</v>
      </c>
      <c r="CA58" s="81" t="s">
        <v>36</v>
      </c>
      <c r="CB58" s="81" t="s">
        <v>41</v>
      </c>
      <c r="CC58" s="81" t="s">
        <v>35</v>
      </c>
      <c r="CD58" s="83" t="s">
        <v>214</v>
      </c>
      <c r="CE58" s="92"/>
      <c r="CF58" s="92"/>
      <c r="CG58" s="92"/>
      <c r="CH58" s="92"/>
      <c r="CI58" s="92"/>
    </row>
    <row r="59" spans="1:87" x14ac:dyDescent="0.2">
      <c r="A59" s="93" t="s">
        <v>65</v>
      </c>
      <c r="B59" s="60" t="s">
        <v>62</v>
      </c>
      <c r="C59" s="60" t="s">
        <v>63</v>
      </c>
      <c r="D59" s="59" t="s">
        <v>66</v>
      </c>
      <c r="E59" s="79"/>
      <c r="F59" s="79"/>
      <c r="G59" s="60" t="s">
        <v>64</v>
      </c>
      <c r="H59" s="79"/>
      <c r="I59" s="79"/>
      <c r="J59" s="79"/>
      <c r="K59" s="70" t="s">
        <v>62</v>
      </c>
      <c r="L59" s="74">
        <v>0.55208333333333703</v>
      </c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76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92"/>
      <c r="BO59" s="92"/>
      <c r="BP59" s="92"/>
      <c r="BQ59" s="92"/>
      <c r="BR59" s="92"/>
      <c r="BS59" s="74">
        <v>0.55208333333333703</v>
      </c>
      <c r="BT59" s="81" t="s">
        <v>211</v>
      </c>
      <c r="BU59" s="81" t="s">
        <v>212</v>
      </c>
      <c r="BV59" s="81" t="s">
        <v>213</v>
      </c>
      <c r="BW59" s="91"/>
      <c r="BX59" s="68"/>
      <c r="BY59" s="88" t="s">
        <v>33</v>
      </c>
      <c r="BZ59" s="81" t="s">
        <v>38</v>
      </c>
      <c r="CA59" s="81" t="s">
        <v>36</v>
      </c>
      <c r="CB59" s="81" t="s">
        <v>41</v>
      </c>
      <c r="CC59" s="81" t="s">
        <v>35</v>
      </c>
      <c r="CD59" s="81" t="s">
        <v>42</v>
      </c>
      <c r="CE59" s="92"/>
      <c r="CF59" s="92"/>
      <c r="CG59" s="92"/>
      <c r="CH59" s="92"/>
      <c r="CI59" s="92"/>
    </row>
    <row r="60" spans="1:87" x14ac:dyDescent="0.2">
      <c r="A60" s="93" t="s">
        <v>65</v>
      </c>
      <c r="B60" s="60" t="s">
        <v>62</v>
      </c>
      <c r="C60" s="60" t="s">
        <v>63</v>
      </c>
      <c r="D60" s="59" t="s">
        <v>66</v>
      </c>
      <c r="E60" s="79"/>
      <c r="F60" s="79"/>
      <c r="G60" s="60" t="s">
        <v>64</v>
      </c>
      <c r="H60" s="79"/>
      <c r="I60" s="79"/>
      <c r="J60" s="79"/>
      <c r="K60" s="70" t="s">
        <v>62</v>
      </c>
      <c r="L60" s="74">
        <v>0.562500000000004</v>
      </c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92"/>
      <c r="BO60" s="92"/>
      <c r="BP60" s="92"/>
      <c r="BQ60" s="92"/>
      <c r="BR60" s="92"/>
      <c r="BS60" s="74">
        <v>0.562500000000004</v>
      </c>
      <c r="BT60" s="81" t="s">
        <v>211</v>
      </c>
      <c r="BU60" s="81" t="s">
        <v>212</v>
      </c>
      <c r="BV60" s="81" t="s">
        <v>213</v>
      </c>
      <c r="BW60" s="91"/>
      <c r="BX60" s="68"/>
      <c r="BY60" s="88" t="s">
        <v>33</v>
      </c>
      <c r="BZ60" s="81" t="s">
        <v>38</v>
      </c>
      <c r="CA60" s="81" t="s">
        <v>36</v>
      </c>
      <c r="CB60" s="81" t="s">
        <v>41</v>
      </c>
      <c r="CC60" s="81" t="s">
        <v>35</v>
      </c>
      <c r="CD60" s="81" t="s">
        <v>42</v>
      </c>
      <c r="CE60" s="92"/>
      <c r="CF60" s="92"/>
      <c r="CG60" s="92"/>
      <c r="CH60" s="92"/>
      <c r="CI60" s="92"/>
    </row>
    <row r="61" spans="1:87" x14ac:dyDescent="0.2">
      <c r="A61" s="93" t="s">
        <v>65</v>
      </c>
      <c r="B61" s="60" t="s">
        <v>62</v>
      </c>
      <c r="C61" s="60" t="s">
        <v>63</v>
      </c>
      <c r="D61" s="59" t="s">
        <v>66</v>
      </c>
      <c r="E61" s="79"/>
      <c r="F61" s="79"/>
      <c r="G61" s="60" t="s">
        <v>64</v>
      </c>
      <c r="H61" s="79"/>
      <c r="I61" s="79"/>
      <c r="J61" s="79"/>
      <c r="K61" s="70" t="s">
        <v>62</v>
      </c>
      <c r="L61" s="74">
        <v>0.57291666666667096</v>
      </c>
      <c r="M61" s="81">
        <v>3</v>
      </c>
      <c r="N61" s="81">
        <v>5</v>
      </c>
      <c r="O61" s="81">
        <v>1</v>
      </c>
      <c r="P61" s="81">
        <v>3</v>
      </c>
      <c r="Q61" s="81">
        <v>2</v>
      </c>
      <c r="R61" s="81">
        <v>1</v>
      </c>
      <c r="S61" s="81">
        <v>1</v>
      </c>
      <c r="T61" s="81">
        <v>1</v>
      </c>
      <c r="U61" s="81"/>
      <c r="V61" s="81">
        <v>1</v>
      </c>
      <c r="W61" s="81">
        <v>6</v>
      </c>
      <c r="X61" s="81">
        <v>2</v>
      </c>
      <c r="Y61" s="81">
        <v>4</v>
      </c>
      <c r="Z61" s="81">
        <v>5</v>
      </c>
      <c r="AA61" s="81">
        <v>2</v>
      </c>
      <c r="AB61" s="81">
        <v>6</v>
      </c>
      <c r="AC61" s="81"/>
      <c r="AD61" s="81">
        <v>3</v>
      </c>
      <c r="AE61" s="81"/>
      <c r="AF61" s="81">
        <v>2</v>
      </c>
      <c r="AG61" s="81">
        <v>2</v>
      </c>
      <c r="AH61" s="81">
        <v>1</v>
      </c>
      <c r="AI61" s="81">
        <v>11</v>
      </c>
      <c r="AJ61" s="81">
        <v>1</v>
      </c>
      <c r="AK61" s="81">
        <v>1</v>
      </c>
      <c r="AL61" s="81"/>
      <c r="AM61" s="81">
        <v>1</v>
      </c>
      <c r="AN61" s="81">
        <v>2</v>
      </c>
      <c r="AO61" s="81">
        <v>1</v>
      </c>
      <c r="AP61" s="81">
        <v>1</v>
      </c>
      <c r="AQ61" s="81"/>
      <c r="AR61" s="81"/>
      <c r="AS61" s="81">
        <v>2</v>
      </c>
      <c r="AT61" s="81">
        <v>2</v>
      </c>
      <c r="AU61" s="81"/>
      <c r="AV61" s="81">
        <v>2</v>
      </c>
      <c r="AW61" s="81">
        <v>1</v>
      </c>
      <c r="AX61" s="81">
        <v>3</v>
      </c>
      <c r="AY61" s="81">
        <v>1</v>
      </c>
      <c r="AZ61" s="81">
        <v>1</v>
      </c>
      <c r="BA61" s="81">
        <v>1</v>
      </c>
      <c r="BB61" s="81"/>
      <c r="BC61" s="81">
        <v>0</v>
      </c>
      <c r="BD61" s="81">
        <v>1</v>
      </c>
      <c r="BE61" s="81"/>
      <c r="BF61" s="81">
        <v>2</v>
      </c>
      <c r="BG61" s="81">
        <v>1</v>
      </c>
      <c r="BH61" s="81"/>
      <c r="BI61" s="81"/>
      <c r="BJ61" s="81"/>
      <c r="BK61" s="81">
        <v>1</v>
      </c>
      <c r="BL61" s="81"/>
      <c r="BM61" s="56">
        <f>SUM(M61:BL61)</f>
        <v>87</v>
      </c>
      <c r="BN61" s="92"/>
      <c r="BO61" s="92"/>
      <c r="BP61" s="92"/>
      <c r="BQ61" s="92"/>
      <c r="BR61" s="92"/>
      <c r="BS61" s="74">
        <v>0.57291666666667096</v>
      </c>
      <c r="BT61" s="81" t="s">
        <v>211</v>
      </c>
      <c r="BU61" s="81" t="s">
        <v>212</v>
      </c>
      <c r="BV61" s="81" t="s">
        <v>213</v>
      </c>
      <c r="BW61" s="91"/>
      <c r="BX61" s="68"/>
      <c r="BY61" s="88" t="s">
        <v>33</v>
      </c>
      <c r="BZ61" s="81" t="s">
        <v>38</v>
      </c>
      <c r="CA61" s="81" t="s">
        <v>36</v>
      </c>
      <c r="CB61" s="81" t="s">
        <v>41</v>
      </c>
      <c r="CC61" s="81" t="s">
        <v>35</v>
      </c>
      <c r="CD61" s="81" t="s">
        <v>42</v>
      </c>
      <c r="CE61" s="92"/>
      <c r="CF61" s="92"/>
      <c r="CG61" s="92"/>
      <c r="CH61" s="92"/>
      <c r="CI61" s="92"/>
    </row>
    <row r="62" spans="1:87" x14ac:dyDescent="0.2">
      <c r="A62" s="93" t="s">
        <v>65</v>
      </c>
      <c r="B62" s="79"/>
      <c r="C62" s="60" t="s">
        <v>63</v>
      </c>
      <c r="D62" s="59" t="s">
        <v>66</v>
      </c>
      <c r="E62" s="59" t="s">
        <v>67</v>
      </c>
      <c r="F62" s="79"/>
      <c r="G62" s="60" t="s">
        <v>64</v>
      </c>
      <c r="H62" s="79"/>
      <c r="I62" s="79"/>
      <c r="J62" s="79"/>
      <c r="K62" s="70" t="s">
        <v>63</v>
      </c>
      <c r="L62" s="71">
        <v>0.58333333333333803</v>
      </c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64">
        <f>-SUM(AX5:AX61)</f>
        <v>-77</v>
      </c>
      <c r="AY62" s="64">
        <f>-SUM(AY5:AY61)</f>
        <v>-37</v>
      </c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90"/>
      <c r="BO62" s="90"/>
      <c r="BP62" s="90"/>
      <c r="BQ62" s="90"/>
      <c r="BR62" s="90"/>
      <c r="BS62" s="71">
        <v>0.58333333333333803</v>
      </c>
      <c r="BT62" s="81" t="s">
        <v>215</v>
      </c>
      <c r="BU62" s="81"/>
      <c r="BV62" s="81"/>
      <c r="BW62" s="91"/>
      <c r="BX62" s="68"/>
      <c r="BY62" s="94" t="s">
        <v>216</v>
      </c>
      <c r="BZ62" s="81" t="s">
        <v>38</v>
      </c>
      <c r="CA62" s="81" t="s">
        <v>36</v>
      </c>
      <c r="CB62" s="81" t="s">
        <v>41</v>
      </c>
      <c r="CC62" s="92"/>
      <c r="CD62" s="81" t="s">
        <v>42</v>
      </c>
      <c r="CE62" s="92"/>
      <c r="CF62" s="92"/>
      <c r="CG62" s="92"/>
      <c r="CH62" s="92"/>
      <c r="CI62" s="92"/>
    </row>
    <row r="63" spans="1:87" x14ac:dyDescent="0.2">
      <c r="A63" s="93" t="s">
        <v>65</v>
      </c>
      <c r="B63" s="79"/>
      <c r="C63" s="60" t="s">
        <v>63</v>
      </c>
      <c r="D63" s="59" t="s">
        <v>66</v>
      </c>
      <c r="E63" s="59" t="s">
        <v>67</v>
      </c>
      <c r="F63" s="79"/>
      <c r="G63" s="60" t="s">
        <v>64</v>
      </c>
      <c r="H63" s="79"/>
      <c r="I63" s="79"/>
      <c r="J63" s="79"/>
      <c r="K63" s="70" t="s">
        <v>63</v>
      </c>
      <c r="L63" s="71">
        <v>0.593750000000005</v>
      </c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90"/>
      <c r="BO63" s="90"/>
      <c r="BP63" s="90"/>
      <c r="BQ63" s="90"/>
      <c r="BR63" s="90"/>
      <c r="BS63" s="71">
        <v>0.593750000000005</v>
      </c>
      <c r="BT63" s="81" t="s">
        <v>215</v>
      </c>
      <c r="BU63" s="81"/>
      <c r="BV63" s="81"/>
      <c r="BW63" s="91"/>
      <c r="BX63" s="68"/>
      <c r="BY63" s="88" t="s">
        <v>44</v>
      </c>
      <c r="BZ63" s="81" t="s">
        <v>38</v>
      </c>
      <c r="CA63" s="81" t="s">
        <v>36</v>
      </c>
      <c r="CB63" s="81" t="s">
        <v>41</v>
      </c>
      <c r="CC63" s="92"/>
      <c r="CD63" s="81" t="s">
        <v>42</v>
      </c>
      <c r="CE63" s="92"/>
      <c r="CF63" s="92"/>
      <c r="CG63" s="92"/>
      <c r="CH63" s="92"/>
      <c r="CI63" s="92"/>
    </row>
    <row r="64" spans="1:87" x14ac:dyDescent="0.2">
      <c r="A64" s="93" t="s">
        <v>65</v>
      </c>
      <c r="B64" s="79"/>
      <c r="C64" s="60" t="s">
        <v>63</v>
      </c>
      <c r="D64" s="59" t="s">
        <v>66</v>
      </c>
      <c r="E64" s="59" t="s">
        <v>67</v>
      </c>
      <c r="F64" s="79"/>
      <c r="G64" s="60" t="s">
        <v>64</v>
      </c>
      <c r="H64" s="79"/>
      <c r="I64" s="79"/>
      <c r="J64" s="79"/>
      <c r="K64" s="70" t="s">
        <v>63</v>
      </c>
      <c r="L64" s="71">
        <v>0.60416666666667196</v>
      </c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90"/>
      <c r="BO64" s="90"/>
      <c r="BP64" s="90"/>
      <c r="BQ64" s="90"/>
      <c r="BR64" s="90"/>
      <c r="BS64" s="71">
        <v>0.60416666666667196</v>
      </c>
      <c r="BT64" s="81" t="s">
        <v>215</v>
      </c>
      <c r="BU64" s="81"/>
      <c r="BV64" s="81"/>
      <c r="BW64" s="91"/>
      <c r="BX64" s="68"/>
      <c r="BY64" s="88" t="s">
        <v>44</v>
      </c>
      <c r="BZ64" s="81" t="s">
        <v>38</v>
      </c>
      <c r="CA64" s="81"/>
      <c r="CB64" s="81" t="s">
        <v>41</v>
      </c>
      <c r="CC64" s="92"/>
      <c r="CD64" s="81" t="s">
        <v>42</v>
      </c>
      <c r="CE64" s="92"/>
      <c r="CF64" s="92"/>
      <c r="CG64" s="92"/>
      <c r="CH64" s="92"/>
      <c r="CI64" s="92"/>
    </row>
    <row r="65" spans="1:87" x14ac:dyDescent="0.2">
      <c r="A65" s="93" t="s">
        <v>65</v>
      </c>
      <c r="B65" s="79"/>
      <c r="C65" s="60" t="s">
        <v>63</v>
      </c>
      <c r="D65" s="59" t="s">
        <v>66</v>
      </c>
      <c r="E65" s="59" t="s">
        <v>67</v>
      </c>
      <c r="F65" s="79"/>
      <c r="G65" s="60" t="s">
        <v>64</v>
      </c>
      <c r="H65" s="79"/>
      <c r="I65" s="79"/>
      <c r="J65" s="79"/>
      <c r="K65" s="70" t="s">
        <v>63</v>
      </c>
      <c r="L65" s="71">
        <v>0.61458333333333903</v>
      </c>
      <c r="M65" s="89">
        <v>1</v>
      </c>
      <c r="N65" s="89">
        <v>2</v>
      </c>
      <c r="O65" s="89"/>
      <c r="P65" s="89">
        <v>3</v>
      </c>
      <c r="Q65" s="89">
        <v>2</v>
      </c>
      <c r="R65" s="89">
        <v>1</v>
      </c>
      <c r="S65" s="89">
        <v>7</v>
      </c>
      <c r="T65" s="89">
        <v>6</v>
      </c>
      <c r="U65" s="89">
        <v>2</v>
      </c>
      <c r="V65" s="89">
        <v>1</v>
      </c>
      <c r="W65" s="89"/>
      <c r="X65" s="89"/>
      <c r="Y65" s="89"/>
      <c r="Z65" s="89">
        <v>1</v>
      </c>
      <c r="AA65" s="89"/>
      <c r="AB65" s="89"/>
      <c r="AC65" s="89">
        <v>2</v>
      </c>
      <c r="AD65" s="89"/>
      <c r="AE65" s="89">
        <v>1</v>
      </c>
      <c r="AF65" s="89">
        <v>1</v>
      </c>
      <c r="AG65" s="89">
        <v>2</v>
      </c>
      <c r="AH65" s="89">
        <v>3</v>
      </c>
      <c r="AI65" s="89">
        <v>2</v>
      </c>
      <c r="AJ65" s="89">
        <v>1</v>
      </c>
      <c r="AK65" s="89"/>
      <c r="AL65" s="89">
        <v>1</v>
      </c>
      <c r="AM65" s="89">
        <v>3</v>
      </c>
      <c r="AN65" s="89">
        <v>2</v>
      </c>
      <c r="AO65" s="89">
        <v>1</v>
      </c>
      <c r="AP65" s="89"/>
      <c r="AQ65" s="89">
        <v>2</v>
      </c>
      <c r="AR65" s="89">
        <v>2</v>
      </c>
      <c r="AS65" s="89">
        <v>2</v>
      </c>
      <c r="AT65" s="89"/>
      <c r="AU65" s="89"/>
      <c r="AV65" s="89">
        <v>2</v>
      </c>
      <c r="AW65" s="89">
        <v>7</v>
      </c>
      <c r="AX65" s="89"/>
      <c r="AY65" s="89"/>
      <c r="AZ65" s="89">
        <v>12</v>
      </c>
      <c r="BA65" s="89">
        <v>2</v>
      </c>
      <c r="BB65" s="89">
        <v>2</v>
      </c>
      <c r="BC65" s="89">
        <v>5</v>
      </c>
      <c r="BD65" s="89"/>
      <c r="BE65" s="89"/>
      <c r="BF65" s="89">
        <v>2</v>
      </c>
      <c r="BG65" s="89">
        <v>13</v>
      </c>
      <c r="BH65" s="89"/>
      <c r="BI65" s="89"/>
      <c r="BJ65" s="89"/>
      <c r="BK65" s="89"/>
      <c r="BL65" s="89"/>
      <c r="BM65" s="63">
        <f>SUM(M65:BL65)</f>
        <v>96</v>
      </c>
      <c r="BN65" s="90"/>
      <c r="BO65" s="90"/>
      <c r="BP65" s="90"/>
      <c r="BQ65" s="90"/>
      <c r="BR65" s="90"/>
      <c r="BS65" s="71">
        <v>0.61458333333333903</v>
      </c>
      <c r="BT65" s="81" t="s">
        <v>215</v>
      </c>
      <c r="BU65" s="81"/>
      <c r="BV65" s="81"/>
      <c r="BW65" s="91"/>
      <c r="BX65" s="68"/>
      <c r="BY65" s="88" t="s">
        <v>44</v>
      </c>
      <c r="BZ65" s="81" t="s">
        <v>38</v>
      </c>
      <c r="CA65" s="81"/>
      <c r="CB65" s="81" t="s">
        <v>41</v>
      </c>
      <c r="CC65" s="92"/>
      <c r="CD65" s="81" t="s">
        <v>42</v>
      </c>
      <c r="CE65" s="92"/>
      <c r="CF65" s="92"/>
      <c r="CG65" s="92"/>
      <c r="CH65" s="92"/>
      <c r="CI65" s="92"/>
    </row>
    <row r="66" spans="1:87" x14ac:dyDescent="0.2">
      <c r="A66" s="57" t="s">
        <v>65</v>
      </c>
      <c r="B66" s="79"/>
      <c r="C66" s="59" t="s">
        <v>68</v>
      </c>
      <c r="D66" s="60" t="s">
        <v>66</v>
      </c>
      <c r="E66" s="59" t="s">
        <v>67</v>
      </c>
      <c r="F66" s="79"/>
      <c r="G66" s="60" t="s">
        <v>64</v>
      </c>
      <c r="H66" s="79"/>
      <c r="I66" s="79"/>
      <c r="J66" s="79"/>
      <c r="K66" s="70" t="s">
        <v>64</v>
      </c>
      <c r="L66" s="74">
        <v>0.625000000000006</v>
      </c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 t="s">
        <v>217</v>
      </c>
      <c r="BJ66" s="81"/>
      <c r="BK66" s="81"/>
      <c r="BL66" s="81"/>
      <c r="BM66" s="81"/>
      <c r="BN66" s="92"/>
      <c r="BO66" s="92"/>
      <c r="BP66" s="92"/>
      <c r="BQ66" s="92"/>
      <c r="BR66" s="92"/>
      <c r="BS66" s="74">
        <v>0.625000000000006</v>
      </c>
      <c r="BT66" s="81" t="s">
        <v>218</v>
      </c>
      <c r="BU66" s="81"/>
      <c r="BV66" s="81"/>
      <c r="BW66" s="91"/>
      <c r="BX66" s="68"/>
      <c r="BY66" s="88" t="s">
        <v>44</v>
      </c>
      <c r="BZ66" s="81" t="s">
        <v>38</v>
      </c>
      <c r="CA66" s="81"/>
      <c r="CB66" s="81" t="s">
        <v>41</v>
      </c>
      <c r="CC66" s="92"/>
      <c r="CD66" s="81" t="s">
        <v>42</v>
      </c>
      <c r="CE66" s="92"/>
      <c r="CF66" s="92"/>
      <c r="CG66" s="92"/>
      <c r="CH66" s="92"/>
      <c r="CI66" s="92"/>
    </row>
    <row r="67" spans="1:87" x14ac:dyDescent="0.2">
      <c r="A67" s="57" t="s">
        <v>65</v>
      </c>
      <c r="B67" s="59" t="s">
        <v>69</v>
      </c>
      <c r="C67" s="59" t="s">
        <v>68</v>
      </c>
      <c r="D67" s="60" t="s">
        <v>66</v>
      </c>
      <c r="E67" s="59" t="s">
        <v>67</v>
      </c>
      <c r="F67" s="79"/>
      <c r="G67" s="60" t="s">
        <v>64</v>
      </c>
      <c r="H67" s="79"/>
      <c r="I67" s="79"/>
      <c r="J67" s="79"/>
      <c r="K67" s="70" t="s">
        <v>64</v>
      </c>
      <c r="L67" s="74">
        <v>0.63541666666667296</v>
      </c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92"/>
      <c r="BO67" s="92"/>
      <c r="BP67" s="92"/>
      <c r="BQ67" s="92"/>
      <c r="BR67" s="92"/>
      <c r="BS67" s="74">
        <v>0.63541666666667296</v>
      </c>
      <c r="BT67" s="81" t="s">
        <v>218</v>
      </c>
      <c r="BU67" s="81"/>
      <c r="BV67" s="81"/>
      <c r="BW67" s="91"/>
      <c r="BX67" s="68"/>
      <c r="BY67" s="88" t="s">
        <v>44</v>
      </c>
      <c r="BZ67" s="81" t="s">
        <v>38</v>
      </c>
      <c r="CA67" s="81"/>
      <c r="CB67" s="81" t="s">
        <v>41</v>
      </c>
      <c r="CC67" s="92"/>
      <c r="CD67" s="81" t="s">
        <v>42</v>
      </c>
      <c r="CE67" s="92"/>
      <c r="CF67" s="92"/>
      <c r="CG67" s="92"/>
      <c r="CH67" s="92"/>
      <c r="CI67" s="92"/>
    </row>
    <row r="68" spans="1:87" x14ac:dyDescent="0.2">
      <c r="A68" s="57" t="s">
        <v>65</v>
      </c>
      <c r="B68" s="59" t="s">
        <v>69</v>
      </c>
      <c r="C68" s="59" t="s">
        <v>68</v>
      </c>
      <c r="D68" s="60" t="s">
        <v>66</v>
      </c>
      <c r="E68" s="59" t="s">
        <v>67</v>
      </c>
      <c r="F68" s="79"/>
      <c r="G68" s="60" t="s">
        <v>64</v>
      </c>
      <c r="H68" s="79"/>
      <c r="I68" s="79"/>
      <c r="J68" s="79"/>
      <c r="K68" s="70" t="s">
        <v>64</v>
      </c>
      <c r="L68" s="74">
        <v>0.64583333333334003</v>
      </c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92"/>
      <c r="BO68" s="92"/>
      <c r="BP68" s="92"/>
      <c r="BQ68" s="92"/>
      <c r="BR68" s="92"/>
      <c r="BS68" s="74">
        <v>0.64583333333334003</v>
      </c>
      <c r="BT68" s="81" t="s">
        <v>218</v>
      </c>
      <c r="BU68" s="81"/>
      <c r="BV68" s="81"/>
      <c r="BW68" s="91"/>
      <c r="BX68" s="68"/>
      <c r="BY68" s="88" t="s">
        <v>44</v>
      </c>
      <c r="BZ68" s="81" t="s">
        <v>38</v>
      </c>
      <c r="CA68" s="81"/>
      <c r="CB68" s="81" t="s">
        <v>41</v>
      </c>
      <c r="CC68" s="92"/>
      <c r="CD68" s="81" t="s">
        <v>42</v>
      </c>
      <c r="CE68" s="92"/>
      <c r="CF68" s="92"/>
      <c r="CG68" s="92"/>
      <c r="CH68" s="92"/>
      <c r="CI68" s="92"/>
    </row>
    <row r="69" spans="1:87" x14ac:dyDescent="0.2">
      <c r="A69" s="57" t="s">
        <v>65</v>
      </c>
      <c r="B69" s="59" t="s">
        <v>69</v>
      </c>
      <c r="C69" s="59" t="s">
        <v>68</v>
      </c>
      <c r="D69" s="60" t="s">
        <v>66</v>
      </c>
      <c r="E69" s="59" t="s">
        <v>67</v>
      </c>
      <c r="F69" s="79"/>
      <c r="G69" s="60" t="s">
        <v>64</v>
      </c>
      <c r="H69" s="79"/>
      <c r="I69" s="79"/>
      <c r="J69" s="79"/>
      <c r="K69" s="70" t="s">
        <v>64</v>
      </c>
      <c r="L69" s="74">
        <v>0.65625000000000699</v>
      </c>
      <c r="M69" s="81">
        <v>6</v>
      </c>
      <c r="N69" s="81">
        <v>1</v>
      </c>
      <c r="O69" s="81"/>
      <c r="P69" s="81">
        <v>1</v>
      </c>
      <c r="Q69" s="81"/>
      <c r="R69" s="81">
        <v>1</v>
      </c>
      <c r="S69" s="81">
        <v>1</v>
      </c>
      <c r="T69" s="81">
        <v>9</v>
      </c>
      <c r="U69" s="81"/>
      <c r="V69" s="81">
        <v>3</v>
      </c>
      <c r="W69" s="81">
        <v>2</v>
      </c>
      <c r="X69" s="81">
        <v>3</v>
      </c>
      <c r="Y69" s="81">
        <v>4</v>
      </c>
      <c r="Z69" s="81">
        <v>6</v>
      </c>
      <c r="AA69" s="81">
        <v>2</v>
      </c>
      <c r="AB69" s="81">
        <v>5</v>
      </c>
      <c r="AC69" s="81">
        <v>4</v>
      </c>
      <c r="AD69" s="81">
        <v>5</v>
      </c>
      <c r="AE69" s="81"/>
      <c r="AF69" s="81">
        <v>4</v>
      </c>
      <c r="AG69" s="81">
        <v>3</v>
      </c>
      <c r="AH69" s="81">
        <v>3</v>
      </c>
      <c r="AI69" s="81">
        <v>6</v>
      </c>
      <c r="AJ69" s="81">
        <v>1</v>
      </c>
      <c r="AK69" s="81">
        <v>1</v>
      </c>
      <c r="AL69" s="81"/>
      <c r="AM69" s="81">
        <v>1</v>
      </c>
      <c r="AN69" s="81">
        <v>2</v>
      </c>
      <c r="AO69" s="81">
        <v>6</v>
      </c>
      <c r="AP69" s="81">
        <v>2</v>
      </c>
      <c r="AQ69" s="81">
        <v>4</v>
      </c>
      <c r="AR69" s="81"/>
      <c r="AS69" s="81">
        <v>2</v>
      </c>
      <c r="AT69" s="81"/>
      <c r="AU69" s="81">
        <v>1</v>
      </c>
      <c r="AV69" s="81">
        <v>2</v>
      </c>
      <c r="AW69" s="81">
        <v>1</v>
      </c>
      <c r="AX69" s="81">
        <v>6</v>
      </c>
      <c r="AY69" s="81">
        <v>6</v>
      </c>
      <c r="AZ69" s="81">
        <v>1</v>
      </c>
      <c r="BA69" s="81">
        <v>1</v>
      </c>
      <c r="BB69" s="81">
        <v>6</v>
      </c>
      <c r="BC69" s="81">
        <v>2</v>
      </c>
      <c r="BD69" s="81">
        <v>2</v>
      </c>
      <c r="BE69" s="81"/>
      <c r="BF69" s="81">
        <v>1</v>
      </c>
      <c r="BG69" s="81">
        <v>3</v>
      </c>
      <c r="BH69" s="81"/>
      <c r="BI69" s="81"/>
      <c r="BJ69" s="81"/>
      <c r="BK69" s="81"/>
      <c r="BL69" s="81"/>
      <c r="BM69" s="56">
        <f>SUM(M69:BL69)</f>
        <v>120</v>
      </c>
      <c r="BN69" s="92"/>
      <c r="BO69" s="92"/>
      <c r="BP69" s="92"/>
      <c r="BQ69" s="92"/>
      <c r="BR69" s="92"/>
      <c r="BS69" s="74">
        <v>0.65625000000000699</v>
      </c>
      <c r="BT69" s="81" t="s">
        <v>218</v>
      </c>
      <c r="BU69" s="81"/>
      <c r="BV69" s="81"/>
      <c r="BW69" s="91"/>
      <c r="BX69" s="68"/>
      <c r="BY69" s="88" t="s">
        <v>44</v>
      </c>
      <c r="BZ69" s="85" t="s">
        <v>38</v>
      </c>
      <c r="CA69" s="81"/>
      <c r="CB69" s="81" t="s">
        <v>41</v>
      </c>
      <c r="CC69" s="92"/>
      <c r="CD69" s="81" t="s">
        <v>42</v>
      </c>
      <c r="CE69" s="92"/>
      <c r="CF69" s="92"/>
      <c r="CG69" s="92"/>
      <c r="CH69" s="92"/>
      <c r="CI69" s="92"/>
    </row>
    <row r="70" spans="1:87" x14ac:dyDescent="0.2">
      <c r="A70" s="57" t="s">
        <v>65</v>
      </c>
      <c r="B70" s="59" t="s">
        <v>69</v>
      </c>
      <c r="C70" s="59" t="s">
        <v>68</v>
      </c>
      <c r="D70" s="60" t="s">
        <v>66</v>
      </c>
      <c r="E70" s="59" t="s">
        <v>67</v>
      </c>
      <c r="F70" s="59" t="s">
        <v>70</v>
      </c>
      <c r="G70" s="79"/>
      <c r="H70" s="79"/>
      <c r="I70" s="79"/>
      <c r="J70" s="79"/>
      <c r="K70" s="70" t="s">
        <v>65</v>
      </c>
      <c r="L70" s="71">
        <v>0.66666666666667396</v>
      </c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7">
        <f>-SUM(Y5:Y69)</f>
        <v>-72</v>
      </c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 t="s">
        <v>219</v>
      </c>
      <c r="BI70" s="87" t="s">
        <v>220</v>
      </c>
      <c r="BJ70" s="89"/>
      <c r="BK70" s="89"/>
      <c r="BL70" s="89"/>
      <c r="BM70" s="89"/>
      <c r="BN70" s="90"/>
      <c r="BO70" s="90"/>
      <c r="BP70" s="90"/>
      <c r="BQ70" s="90"/>
      <c r="BR70" s="90"/>
      <c r="BS70" s="71">
        <v>0.66666666666667396</v>
      </c>
      <c r="BT70" s="81" t="s">
        <v>221</v>
      </c>
      <c r="BU70" s="81" t="s">
        <v>222</v>
      </c>
      <c r="BV70" s="81" t="s">
        <v>223</v>
      </c>
      <c r="BW70" s="81"/>
      <c r="BX70" s="82" t="s">
        <v>224</v>
      </c>
      <c r="BY70" s="91" t="s">
        <v>44</v>
      </c>
      <c r="BZ70" s="68"/>
      <c r="CA70" s="88"/>
      <c r="CB70" s="81"/>
      <c r="CC70" s="92"/>
      <c r="CD70" s="81" t="s">
        <v>42</v>
      </c>
      <c r="CE70" s="92"/>
      <c r="CF70" s="92"/>
      <c r="CG70" s="92"/>
      <c r="CH70" s="92"/>
      <c r="CI70" s="92"/>
    </row>
    <row r="71" spans="1:87" x14ac:dyDescent="0.2">
      <c r="A71" s="57" t="s">
        <v>65</v>
      </c>
      <c r="B71" s="59" t="s">
        <v>69</v>
      </c>
      <c r="C71" s="59" t="s">
        <v>68</v>
      </c>
      <c r="D71" s="60" t="s">
        <v>66</v>
      </c>
      <c r="E71" s="59" t="s">
        <v>67</v>
      </c>
      <c r="F71" s="59" t="s">
        <v>70</v>
      </c>
      <c r="G71" s="59" t="s">
        <v>71</v>
      </c>
      <c r="H71" s="79"/>
      <c r="I71" s="79"/>
      <c r="J71" s="79"/>
      <c r="K71" s="70" t="s">
        <v>65</v>
      </c>
      <c r="L71" s="71">
        <v>0.67708333333334103</v>
      </c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90"/>
      <c r="BO71" s="90"/>
      <c r="BP71" s="90"/>
      <c r="BQ71" s="90"/>
      <c r="BR71" s="90"/>
      <c r="BS71" s="71">
        <v>0.67708333333334103</v>
      </c>
      <c r="BT71" s="81" t="s">
        <v>221</v>
      </c>
      <c r="BU71" s="81" t="s">
        <v>222</v>
      </c>
      <c r="BV71" s="81" t="s">
        <v>223</v>
      </c>
      <c r="BW71" s="81"/>
      <c r="BX71" s="81" t="s">
        <v>46</v>
      </c>
      <c r="BY71" s="91" t="s">
        <v>44</v>
      </c>
      <c r="BZ71" s="68"/>
      <c r="CA71" s="88"/>
      <c r="CB71" s="81"/>
      <c r="CC71" s="92"/>
      <c r="CD71" s="81" t="s">
        <v>42</v>
      </c>
      <c r="CE71" s="92"/>
      <c r="CF71" s="92"/>
      <c r="CG71" s="92"/>
      <c r="CH71" s="92"/>
      <c r="CI71" s="92"/>
    </row>
    <row r="72" spans="1:87" x14ac:dyDescent="0.2">
      <c r="A72" s="57" t="s">
        <v>65</v>
      </c>
      <c r="B72" s="59" t="s">
        <v>69</v>
      </c>
      <c r="C72" s="59" t="s">
        <v>68</v>
      </c>
      <c r="D72" s="60" t="s">
        <v>66</v>
      </c>
      <c r="E72" s="59" t="s">
        <v>67</v>
      </c>
      <c r="F72" s="59" t="s">
        <v>70</v>
      </c>
      <c r="G72" s="59" t="s">
        <v>71</v>
      </c>
      <c r="H72" s="59" t="s">
        <v>72</v>
      </c>
      <c r="I72" s="79"/>
      <c r="J72" s="79"/>
      <c r="K72" s="70" t="s">
        <v>65</v>
      </c>
      <c r="L72" s="71">
        <v>0.68750000000000799</v>
      </c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90"/>
      <c r="BO72" s="90"/>
      <c r="BP72" s="90"/>
      <c r="BQ72" s="90"/>
      <c r="BR72" s="90"/>
      <c r="BS72" s="71">
        <v>0.68750000000000799</v>
      </c>
      <c r="BT72" s="81" t="s">
        <v>221</v>
      </c>
      <c r="BU72" s="81" t="s">
        <v>222</v>
      </c>
      <c r="BV72" s="81" t="s">
        <v>223</v>
      </c>
      <c r="BW72" s="81"/>
      <c r="BX72" s="81" t="s">
        <v>46</v>
      </c>
      <c r="BY72" s="91" t="s">
        <v>44</v>
      </c>
      <c r="BZ72" s="68"/>
      <c r="CA72" s="88"/>
      <c r="CB72" s="81"/>
      <c r="CC72" s="92"/>
      <c r="CD72" s="81" t="s">
        <v>42</v>
      </c>
      <c r="CE72" s="92"/>
      <c r="CF72" s="92"/>
      <c r="CG72" s="92"/>
      <c r="CH72" s="92"/>
      <c r="CI72" s="92"/>
    </row>
    <row r="73" spans="1:87" x14ac:dyDescent="0.2">
      <c r="A73" s="57" t="s">
        <v>65</v>
      </c>
      <c r="B73" s="59" t="s">
        <v>69</v>
      </c>
      <c r="C73" s="59" t="s">
        <v>68</v>
      </c>
      <c r="D73" s="60" t="s">
        <v>66</v>
      </c>
      <c r="E73" s="59" t="s">
        <v>67</v>
      </c>
      <c r="F73" s="59" t="s">
        <v>70</v>
      </c>
      <c r="G73" s="59" t="s">
        <v>71</v>
      </c>
      <c r="H73" s="59" t="s">
        <v>72</v>
      </c>
      <c r="I73" s="79"/>
      <c r="J73" s="79"/>
      <c r="K73" s="70" t="s">
        <v>65</v>
      </c>
      <c r="L73" s="71">
        <v>0.69791666666667496</v>
      </c>
      <c r="M73" s="89">
        <v>1</v>
      </c>
      <c r="N73" s="89">
        <v>1</v>
      </c>
      <c r="O73" s="89"/>
      <c r="P73" s="89"/>
      <c r="Q73" s="89">
        <v>2</v>
      </c>
      <c r="R73" s="89"/>
      <c r="S73" s="89">
        <v>2</v>
      </c>
      <c r="T73" s="89">
        <v>1</v>
      </c>
      <c r="U73" s="89"/>
      <c r="V73" s="89"/>
      <c r="W73" s="89">
        <v>1</v>
      </c>
      <c r="X73" s="89">
        <v>1</v>
      </c>
      <c r="Y73" s="89">
        <v>0</v>
      </c>
      <c r="Z73" s="89">
        <v>9</v>
      </c>
      <c r="AA73" s="89">
        <v>2</v>
      </c>
      <c r="AB73" s="89">
        <v>9</v>
      </c>
      <c r="AC73" s="89"/>
      <c r="AD73" s="89"/>
      <c r="AE73" s="89"/>
      <c r="AF73" s="89">
        <v>17</v>
      </c>
      <c r="AG73" s="89">
        <v>3</v>
      </c>
      <c r="AH73" s="89"/>
      <c r="AI73" s="89">
        <v>4</v>
      </c>
      <c r="AJ73" s="89"/>
      <c r="AK73" s="89">
        <v>1</v>
      </c>
      <c r="AL73" s="89">
        <v>2</v>
      </c>
      <c r="AM73" s="89">
        <v>4</v>
      </c>
      <c r="AN73" s="89"/>
      <c r="AO73" s="89">
        <v>6</v>
      </c>
      <c r="AP73" s="89">
        <v>2</v>
      </c>
      <c r="AQ73" s="89"/>
      <c r="AR73" s="89"/>
      <c r="AS73" s="89">
        <v>2</v>
      </c>
      <c r="AT73" s="89"/>
      <c r="AU73" s="89">
        <v>5</v>
      </c>
      <c r="AV73" s="89">
        <v>1</v>
      </c>
      <c r="AW73" s="89"/>
      <c r="AX73" s="89">
        <v>1</v>
      </c>
      <c r="AY73" s="89">
        <v>4</v>
      </c>
      <c r="AZ73" s="89"/>
      <c r="BA73" s="89"/>
      <c r="BB73" s="89"/>
      <c r="BC73" s="89">
        <v>1</v>
      </c>
      <c r="BD73" s="89">
        <v>4</v>
      </c>
      <c r="BE73" s="89"/>
      <c r="BF73" s="89"/>
      <c r="BG73" s="89">
        <v>2</v>
      </c>
      <c r="BH73" s="89"/>
      <c r="BI73" s="89">
        <v>1</v>
      </c>
      <c r="BJ73" s="89"/>
      <c r="BK73" s="89"/>
      <c r="BL73" s="89"/>
      <c r="BM73" s="63">
        <f>SUM(M73:BL73)</f>
        <v>89</v>
      </c>
      <c r="BN73" s="90"/>
      <c r="BO73" s="90"/>
      <c r="BP73" s="90"/>
      <c r="BQ73" s="90"/>
      <c r="BR73" s="90"/>
      <c r="BS73" s="71">
        <v>0.69791666666667496</v>
      </c>
      <c r="BT73" s="81" t="s">
        <v>221</v>
      </c>
      <c r="BU73" s="81" t="s">
        <v>222</v>
      </c>
      <c r="BV73" s="81" t="s">
        <v>223</v>
      </c>
      <c r="BW73" s="81"/>
      <c r="BX73" s="81" t="s">
        <v>46</v>
      </c>
      <c r="BY73" s="91" t="s">
        <v>44</v>
      </c>
      <c r="BZ73" s="68"/>
      <c r="CA73" s="88"/>
      <c r="CB73" s="81"/>
      <c r="CC73" s="92"/>
      <c r="CD73" s="81" t="s">
        <v>42</v>
      </c>
      <c r="CE73" s="92"/>
      <c r="CF73" s="92"/>
      <c r="CG73" s="92"/>
      <c r="CH73" s="92"/>
      <c r="CI73" s="92"/>
    </row>
    <row r="74" spans="1:87" x14ac:dyDescent="0.2">
      <c r="A74" s="98"/>
      <c r="B74" s="59" t="s">
        <v>69</v>
      </c>
      <c r="C74" s="59" t="s">
        <v>68</v>
      </c>
      <c r="D74" s="60" t="s">
        <v>66</v>
      </c>
      <c r="E74" s="60" t="s">
        <v>67</v>
      </c>
      <c r="F74" s="59" t="s">
        <v>70</v>
      </c>
      <c r="G74" s="59" t="s">
        <v>71</v>
      </c>
      <c r="H74" s="59" t="s">
        <v>72</v>
      </c>
      <c r="I74" s="79"/>
      <c r="J74" s="79"/>
      <c r="K74" s="70" t="s">
        <v>66</v>
      </c>
      <c r="L74" s="74">
        <v>0.70833333333334203</v>
      </c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76">
        <f>-SUM(BJ49:BJ73)</f>
        <v>-4</v>
      </c>
      <c r="BK74" s="81"/>
      <c r="BL74" s="81"/>
      <c r="BM74" s="81"/>
      <c r="BN74" s="92"/>
      <c r="BO74" s="92"/>
      <c r="BP74" s="92"/>
      <c r="BQ74" s="92"/>
      <c r="BR74" s="92"/>
      <c r="BS74" s="74">
        <v>0.70833333333334203</v>
      </c>
      <c r="BT74" s="81" t="s">
        <v>225</v>
      </c>
      <c r="BU74" s="81"/>
      <c r="BV74" s="81"/>
      <c r="BW74" s="81"/>
      <c r="BX74" s="81" t="s">
        <v>46</v>
      </c>
      <c r="BY74" s="91" t="s">
        <v>44</v>
      </c>
      <c r="BZ74" s="68"/>
      <c r="CA74" s="88"/>
      <c r="CB74" s="81"/>
      <c r="CC74" s="92"/>
      <c r="CD74" s="92"/>
      <c r="CE74" s="92"/>
      <c r="CF74" s="92"/>
      <c r="CG74" s="92"/>
      <c r="CH74" s="92"/>
      <c r="CI74" s="92"/>
    </row>
    <row r="75" spans="1:87" x14ac:dyDescent="0.2">
      <c r="A75" s="98"/>
      <c r="B75" s="59" t="s">
        <v>69</v>
      </c>
      <c r="C75" s="59" t="s">
        <v>68</v>
      </c>
      <c r="D75" s="60" t="s">
        <v>66</v>
      </c>
      <c r="E75" s="60" t="s">
        <v>67</v>
      </c>
      <c r="F75" s="59" t="s">
        <v>70</v>
      </c>
      <c r="G75" s="59" t="s">
        <v>71</v>
      </c>
      <c r="H75" s="59" t="s">
        <v>72</v>
      </c>
      <c r="I75" s="79"/>
      <c r="J75" s="79"/>
      <c r="K75" s="70" t="s">
        <v>66</v>
      </c>
      <c r="L75" s="74">
        <v>0.71875000000000899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92"/>
      <c r="BO75" s="92"/>
      <c r="BP75" s="92"/>
      <c r="BQ75" s="92"/>
      <c r="BR75" s="92"/>
      <c r="BS75" s="74">
        <v>0.71875000000000899</v>
      </c>
      <c r="BT75" s="81" t="s">
        <v>225</v>
      </c>
      <c r="BU75" s="81"/>
      <c r="BV75" s="81"/>
      <c r="BW75" s="81"/>
      <c r="BX75" s="81" t="s">
        <v>46</v>
      </c>
      <c r="BY75" s="91" t="s">
        <v>44</v>
      </c>
      <c r="BZ75" s="68"/>
      <c r="CA75" s="88"/>
      <c r="CB75" s="81"/>
      <c r="CC75" s="92"/>
      <c r="CD75" s="92"/>
      <c r="CE75" s="92"/>
      <c r="CF75" s="92"/>
      <c r="CG75" s="92"/>
      <c r="CH75" s="92"/>
      <c r="CI75" s="92"/>
    </row>
    <row r="76" spans="1:87" x14ac:dyDescent="0.2">
      <c r="A76" s="98"/>
      <c r="B76" s="59" t="s">
        <v>69</v>
      </c>
      <c r="C76" s="59" t="s">
        <v>68</v>
      </c>
      <c r="D76" s="60" t="s">
        <v>66</v>
      </c>
      <c r="E76" s="60" t="s">
        <v>67</v>
      </c>
      <c r="F76" s="59" t="s">
        <v>70</v>
      </c>
      <c r="G76" s="59" t="s">
        <v>71</v>
      </c>
      <c r="H76" s="59" t="s">
        <v>72</v>
      </c>
      <c r="I76" s="79"/>
      <c r="J76" s="79"/>
      <c r="K76" s="70" t="s">
        <v>66</v>
      </c>
      <c r="L76" s="74">
        <v>0.72916666666667695</v>
      </c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92"/>
      <c r="BO76" s="92"/>
      <c r="BP76" s="92"/>
      <c r="BQ76" s="92"/>
      <c r="BR76" s="92"/>
      <c r="BS76" s="74">
        <v>0.72916666666667695</v>
      </c>
      <c r="BT76" s="81" t="s">
        <v>225</v>
      </c>
      <c r="BU76" s="81"/>
      <c r="BV76" s="81"/>
      <c r="BW76" s="81"/>
      <c r="BX76" s="81" t="s">
        <v>46</v>
      </c>
      <c r="BY76" s="91" t="s">
        <v>44</v>
      </c>
      <c r="BZ76" s="68"/>
      <c r="CA76" s="88"/>
      <c r="CB76" s="81"/>
      <c r="CC76" s="92"/>
      <c r="CD76" s="92"/>
      <c r="CE76" s="92"/>
      <c r="CF76" s="92"/>
      <c r="CG76" s="92"/>
      <c r="CH76" s="92"/>
      <c r="CI76" s="92"/>
    </row>
    <row r="77" spans="1:87" x14ac:dyDescent="0.2">
      <c r="A77" s="93" t="s">
        <v>6</v>
      </c>
      <c r="B77" s="59" t="s">
        <v>69</v>
      </c>
      <c r="C77" s="59" t="s">
        <v>68</v>
      </c>
      <c r="D77" s="60" t="s">
        <v>66</v>
      </c>
      <c r="E77" s="60" t="s">
        <v>67</v>
      </c>
      <c r="F77" s="59" t="s">
        <v>70</v>
      </c>
      <c r="G77" s="59" t="s">
        <v>71</v>
      </c>
      <c r="H77" s="59" t="s">
        <v>72</v>
      </c>
      <c r="I77" s="79"/>
      <c r="J77" s="79"/>
      <c r="K77" s="70" t="s">
        <v>66</v>
      </c>
      <c r="L77" s="74">
        <v>0.73958333333334403</v>
      </c>
      <c r="M77" s="81">
        <v>1</v>
      </c>
      <c r="N77" s="81">
        <v>8</v>
      </c>
      <c r="O77" s="81"/>
      <c r="P77" s="81">
        <v>3</v>
      </c>
      <c r="Q77" s="81">
        <v>16</v>
      </c>
      <c r="R77" s="81">
        <v>10</v>
      </c>
      <c r="S77" s="81">
        <v>4</v>
      </c>
      <c r="T77" s="81">
        <v>10</v>
      </c>
      <c r="U77" s="81">
        <v>2</v>
      </c>
      <c r="V77" s="81"/>
      <c r="W77" s="81">
        <v>2</v>
      </c>
      <c r="X77" s="81">
        <v>3</v>
      </c>
      <c r="Y77" s="81">
        <v>3</v>
      </c>
      <c r="Z77" s="81">
        <v>2</v>
      </c>
      <c r="AA77" s="81">
        <v>1</v>
      </c>
      <c r="AB77" s="81">
        <v>2</v>
      </c>
      <c r="AC77" s="81">
        <v>1</v>
      </c>
      <c r="AD77" s="81">
        <v>1</v>
      </c>
      <c r="AE77" s="81"/>
      <c r="AF77" s="81">
        <v>2</v>
      </c>
      <c r="AG77" s="81">
        <v>3</v>
      </c>
      <c r="AH77" s="81"/>
      <c r="AI77" s="81">
        <v>3</v>
      </c>
      <c r="AJ77" s="81"/>
      <c r="AK77" s="81"/>
      <c r="AL77" s="81"/>
      <c r="AM77" s="81"/>
      <c r="AN77" s="81"/>
      <c r="AO77" s="81"/>
      <c r="AP77" s="81">
        <v>3</v>
      </c>
      <c r="AQ77" s="81">
        <v>2</v>
      </c>
      <c r="AR77" s="81"/>
      <c r="AS77" s="81"/>
      <c r="AT77" s="81"/>
      <c r="AU77" s="81"/>
      <c r="AV77" s="81"/>
      <c r="AW77" s="81">
        <v>2</v>
      </c>
      <c r="AX77" s="81">
        <v>2</v>
      </c>
      <c r="AY77" s="81"/>
      <c r="AZ77" s="81">
        <v>2</v>
      </c>
      <c r="BA77" s="81"/>
      <c r="BB77" s="81"/>
      <c r="BC77" s="81">
        <v>2</v>
      </c>
      <c r="BD77" s="81"/>
      <c r="BE77" s="81"/>
      <c r="BF77" s="81">
        <v>4</v>
      </c>
      <c r="BG77" s="81">
        <v>3</v>
      </c>
      <c r="BH77" s="81"/>
      <c r="BI77" s="81"/>
      <c r="BJ77" s="81"/>
      <c r="BK77" s="81"/>
      <c r="BL77" s="81"/>
      <c r="BM77" s="56">
        <f>SUM(M77:BL77)</f>
        <v>97</v>
      </c>
      <c r="BN77" s="92"/>
      <c r="BO77" s="92"/>
      <c r="BP77" s="92"/>
      <c r="BQ77" s="92"/>
      <c r="BR77" s="92"/>
      <c r="BS77" s="74">
        <v>0.73958333333334403</v>
      </c>
      <c r="BT77" s="81" t="s">
        <v>225</v>
      </c>
      <c r="BU77" s="81"/>
      <c r="BV77" s="81"/>
      <c r="BW77" s="81"/>
      <c r="BX77" s="81" t="s">
        <v>46</v>
      </c>
      <c r="BY77" s="91" t="s">
        <v>44</v>
      </c>
      <c r="BZ77" s="68"/>
      <c r="CA77" s="88"/>
      <c r="CB77" s="81"/>
      <c r="CC77" s="92"/>
      <c r="CD77" s="92"/>
      <c r="CE77" s="92"/>
      <c r="CF77" s="92"/>
      <c r="CG77" s="92"/>
      <c r="CH77" s="92"/>
      <c r="CI77" s="92"/>
    </row>
    <row r="78" spans="1:87" x14ac:dyDescent="0.2">
      <c r="A78" s="93" t="s">
        <v>6</v>
      </c>
      <c r="B78" s="59" t="s">
        <v>69</v>
      </c>
      <c r="C78" s="60" t="s">
        <v>68</v>
      </c>
      <c r="D78" s="59" t="s">
        <v>15</v>
      </c>
      <c r="E78" s="60" t="s">
        <v>67</v>
      </c>
      <c r="F78" s="59" t="s">
        <v>70</v>
      </c>
      <c r="G78" s="59" t="s">
        <v>71</v>
      </c>
      <c r="H78" s="59" t="s">
        <v>72</v>
      </c>
      <c r="I78" s="59" t="s">
        <v>23</v>
      </c>
      <c r="J78" s="79"/>
      <c r="K78" s="70" t="s">
        <v>67</v>
      </c>
      <c r="L78" s="71">
        <v>0.75000000000001099</v>
      </c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90"/>
      <c r="BO78" s="90"/>
      <c r="BP78" s="90"/>
      <c r="BQ78" s="90"/>
      <c r="BR78" s="90"/>
      <c r="BS78" s="71">
        <v>0.75000000000001099</v>
      </c>
      <c r="BT78" s="81"/>
      <c r="BU78" s="81"/>
      <c r="BV78" s="81"/>
      <c r="BW78" s="81"/>
      <c r="BX78" s="81" t="s">
        <v>46</v>
      </c>
      <c r="BY78" s="81"/>
      <c r="BZ78" s="97"/>
      <c r="CA78" s="81"/>
      <c r="CB78" s="81"/>
      <c r="CC78" s="92"/>
      <c r="CD78" s="92"/>
      <c r="CE78" s="92"/>
      <c r="CF78" s="92"/>
      <c r="CG78" s="92"/>
      <c r="CH78" s="92"/>
      <c r="CI78" s="92"/>
    </row>
    <row r="79" spans="1:87" x14ac:dyDescent="0.2">
      <c r="A79" s="93" t="s">
        <v>6</v>
      </c>
      <c r="B79" s="60" t="s">
        <v>69</v>
      </c>
      <c r="C79" s="60" t="s">
        <v>68</v>
      </c>
      <c r="D79" s="59" t="s">
        <v>15</v>
      </c>
      <c r="E79" s="60" t="s">
        <v>67</v>
      </c>
      <c r="F79" s="59" t="s">
        <v>70</v>
      </c>
      <c r="G79" s="59" t="s">
        <v>71</v>
      </c>
      <c r="H79" s="59" t="s">
        <v>72</v>
      </c>
      <c r="I79" s="59" t="s">
        <v>23</v>
      </c>
      <c r="J79" s="79"/>
      <c r="K79" s="70" t="s">
        <v>67</v>
      </c>
      <c r="L79" s="71">
        <v>0.76041666666667795</v>
      </c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90"/>
      <c r="BO79" s="90"/>
      <c r="BP79" s="90"/>
      <c r="BQ79" s="90"/>
      <c r="BR79" s="90"/>
      <c r="BS79" s="71">
        <v>0.76041666666667795</v>
      </c>
      <c r="BT79" s="81"/>
      <c r="BU79" s="81"/>
      <c r="BV79" s="81"/>
      <c r="BW79" s="81"/>
      <c r="BX79" s="81" t="s">
        <v>46</v>
      </c>
      <c r="BY79" s="81"/>
      <c r="BZ79" s="81"/>
      <c r="CA79" s="81"/>
      <c r="CB79" s="81"/>
      <c r="CC79" s="92"/>
      <c r="CD79" s="92"/>
      <c r="CE79" s="92"/>
      <c r="CF79" s="92"/>
      <c r="CG79" s="92"/>
      <c r="CH79" s="92"/>
      <c r="CI79" s="92"/>
    </row>
    <row r="80" spans="1:87" x14ac:dyDescent="0.2">
      <c r="A80" s="93" t="s">
        <v>6</v>
      </c>
      <c r="B80" s="60" t="s">
        <v>69</v>
      </c>
      <c r="C80" s="60" t="s">
        <v>68</v>
      </c>
      <c r="D80" s="59" t="s">
        <v>15</v>
      </c>
      <c r="E80" s="60" t="s">
        <v>67</v>
      </c>
      <c r="F80" s="59" t="s">
        <v>70</v>
      </c>
      <c r="G80" s="59" t="s">
        <v>71</v>
      </c>
      <c r="H80" s="59" t="s">
        <v>72</v>
      </c>
      <c r="I80" s="59" t="s">
        <v>23</v>
      </c>
      <c r="J80" s="79"/>
      <c r="K80" s="70" t="s">
        <v>67</v>
      </c>
      <c r="L80" s="71">
        <v>0.77083333333334503</v>
      </c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7">
        <f>-SUM(AF5:AF79)</f>
        <v>-48</v>
      </c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90"/>
      <c r="BO80" s="90"/>
      <c r="BP80" s="90"/>
      <c r="BQ80" s="90"/>
      <c r="BR80" s="90"/>
      <c r="BS80" s="71">
        <v>0.77083333333334503</v>
      </c>
      <c r="BT80" s="81" t="s">
        <v>226</v>
      </c>
      <c r="BU80" s="81"/>
      <c r="BV80" s="81"/>
      <c r="BW80" s="81"/>
      <c r="BX80" s="81" t="s">
        <v>46</v>
      </c>
      <c r="BY80" s="83" t="s">
        <v>227</v>
      </c>
      <c r="BZ80" s="81"/>
      <c r="CA80" s="81"/>
      <c r="CB80" s="81"/>
      <c r="CC80" s="92"/>
      <c r="CD80" s="92"/>
      <c r="CE80" s="92"/>
      <c r="CF80" s="92"/>
      <c r="CG80" s="92"/>
      <c r="CH80" s="92"/>
      <c r="CI80" s="92"/>
    </row>
    <row r="81" spans="1:87" x14ac:dyDescent="0.2">
      <c r="A81" s="93" t="s">
        <v>6</v>
      </c>
      <c r="B81" s="60" t="s">
        <v>69</v>
      </c>
      <c r="C81" s="60" t="s">
        <v>68</v>
      </c>
      <c r="D81" s="59" t="s">
        <v>15</v>
      </c>
      <c r="E81" s="60" t="s">
        <v>67</v>
      </c>
      <c r="F81" s="59" t="s">
        <v>70</v>
      </c>
      <c r="G81" s="59" t="s">
        <v>71</v>
      </c>
      <c r="H81" s="59" t="s">
        <v>72</v>
      </c>
      <c r="I81" s="59" t="s">
        <v>23</v>
      </c>
      <c r="J81" s="79"/>
      <c r="K81" s="70" t="s">
        <v>67</v>
      </c>
      <c r="L81" s="71">
        <v>0.78125000000001199</v>
      </c>
      <c r="M81" s="89">
        <v>2</v>
      </c>
      <c r="N81" s="89">
        <v>1</v>
      </c>
      <c r="O81" s="89"/>
      <c r="P81" s="89">
        <v>1</v>
      </c>
      <c r="Q81" s="89">
        <v>1</v>
      </c>
      <c r="R81" s="89">
        <v>5</v>
      </c>
      <c r="S81" s="89">
        <v>4</v>
      </c>
      <c r="T81" s="89">
        <v>9</v>
      </c>
      <c r="U81" s="89"/>
      <c r="V81" s="89">
        <v>1</v>
      </c>
      <c r="W81" s="89">
        <v>2</v>
      </c>
      <c r="X81" s="89">
        <v>2</v>
      </c>
      <c r="Y81" s="89">
        <v>3</v>
      </c>
      <c r="Z81" s="89">
        <v>3</v>
      </c>
      <c r="AA81" s="89">
        <v>3</v>
      </c>
      <c r="AB81" s="89">
        <v>3</v>
      </c>
      <c r="AC81" s="89">
        <v>5</v>
      </c>
      <c r="AD81" s="89">
        <v>1</v>
      </c>
      <c r="AE81" s="89"/>
      <c r="AF81" s="89">
        <v>0</v>
      </c>
      <c r="AG81" s="89">
        <v>3</v>
      </c>
      <c r="AH81" s="89">
        <v>1</v>
      </c>
      <c r="AI81" s="89">
        <v>2</v>
      </c>
      <c r="AJ81" s="89">
        <v>1</v>
      </c>
      <c r="AK81" s="89">
        <v>2</v>
      </c>
      <c r="AL81" s="89"/>
      <c r="AM81" s="89">
        <v>1</v>
      </c>
      <c r="AN81" s="89"/>
      <c r="AO81" s="89"/>
      <c r="AP81" s="89">
        <v>3</v>
      </c>
      <c r="AQ81" s="89">
        <v>2</v>
      </c>
      <c r="AR81" s="89"/>
      <c r="AS81" s="89">
        <v>3</v>
      </c>
      <c r="AT81" s="89"/>
      <c r="AU81" s="89"/>
      <c r="AV81" s="89">
        <v>2</v>
      </c>
      <c r="AW81" s="89">
        <v>2</v>
      </c>
      <c r="AX81" s="89">
        <v>12</v>
      </c>
      <c r="AY81" s="89">
        <v>5</v>
      </c>
      <c r="AZ81" s="89">
        <v>1</v>
      </c>
      <c r="BA81" s="89">
        <v>3</v>
      </c>
      <c r="BB81" s="89">
        <v>1</v>
      </c>
      <c r="BC81" s="89">
        <v>2</v>
      </c>
      <c r="BD81" s="89">
        <v>1</v>
      </c>
      <c r="BE81" s="89"/>
      <c r="BF81" s="89">
        <v>1</v>
      </c>
      <c r="BG81" s="89"/>
      <c r="BH81" s="89">
        <v>1</v>
      </c>
      <c r="BI81" s="89"/>
      <c r="BJ81" s="89"/>
      <c r="BK81" s="89"/>
      <c r="BL81" s="89"/>
      <c r="BM81" s="63">
        <f>SUM(M81:BL81)</f>
        <v>95</v>
      </c>
      <c r="BN81" s="90"/>
      <c r="BO81" s="90"/>
      <c r="BP81" s="90"/>
      <c r="BQ81" s="90"/>
      <c r="BR81" s="90"/>
      <c r="BS81" s="71">
        <v>0.78125000000001199</v>
      </c>
      <c r="BT81" s="81" t="s">
        <v>226</v>
      </c>
      <c r="BU81" s="81"/>
      <c r="BV81" s="81"/>
      <c r="BW81" s="81"/>
      <c r="BX81" s="81" t="s">
        <v>46</v>
      </c>
      <c r="BY81" s="81" t="s">
        <v>49</v>
      </c>
      <c r="BZ81" s="81"/>
      <c r="CA81" s="81"/>
      <c r="CB81" s="81"/>
      <c r="CC81" s="92"/>
      <c r="CD81" s="92"/>
      <c r="CE81" s="92"/>
      <c r="CF81" s="92"/>
      <c r="CG81" s="92"/>
      <c r="CH81" s="92"/>
      <c r="CI81" s="92"/>
    </row>
    <row r="82" spans="1:87" x14ac:dyDescent="0.2">
      <c r="A82" s="93" t="s">
        <v>6</v>
      </c>
      <c r="B82" s="60" t="s">
        <v>69</v>
      </c>
      <c r="C82" s="60" t="s">
        <v>68</v>
      </c>
      <c r="D82" s="59" t="s">
        <v>15</v>
      </c>
      <c r="E82" s="79"/>
      <c r="F82" s="60" t="s">
        <v>70</v>
      </c>
      <c r="G82" s="59" t="s">
        <v>71</v>
      </c>
      <c r="H82" s="59" t="s">
        <v>72</v>
      </c>
      <c r="I82" s="59" t="s">
        <v>23</v>
      </c>
      <c r="J82" s="79"/>
      <c r="K82" s="70" t="s">
        <v>68</v>
      </c>
      <c r="L82" s="74">
        <v>0.79166666666667895</v>
      </c>
      <c r="M82" s="76">
        <f>-SUM(M49:M81)</f>
        <v>-17</v>
      </c>
      <c r="N82" s="81"/>
      <c r="O82" s="81"/>
      <c r="P82" s="76">
        <f>-SUM(P49:P81)</f>
        <v>-14</v>
      </c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76">
        <f>-SUM(AT5:AT81)</f>
        <v>-12</v>
      </c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92"/>
      <c r="BO82" s="92"/>
      <c r="BP82" s="92"/>
      <c r="BQ82" s="92"/>
      <c r="BR82" s="92"/>
      <c r="BS82" s="74">
        <v>0.79166666666667895</v>
      </c>
      <c r="BT82" s="81" t="s">
        <v>226</v>
      </c>
      <c r="BU82" s="81" t="s">
        <v>228</v>
      </c>
      <c r="BV82" s="81"/>
      <c r="BW82" s="81"/>
      <c r="BX82" s="81" t="s">
        <v>46</v>
      </c>
      <c r="BY82" s="81" t="s">
        <v>49</v>
      </c>
      <c r="BZ82" s="83" t="s">
        <v>229</v>
      </c>
      <c r="CA82" s="81"/>
      <c r="CB82" s="81"/>
      <c r="CC82" s="92"/>
      <c r="CD82" s="92"/>
      <c r="CE82" s="92"/>
      <c r="CF82" s="92"/>
      <c r="CG82" s="92"/>
      <c r="CH82" s="92"/>
      <c r="CI82" s="92"/>
    </row>
    <row r="83" spans="1:87" x14ac:dyDescent="0.2">
      <c r="A83" s="93" t="s">
        <v>6</v>
      </c>
      <c r="B83" s="60" t="s">
        <v>69</v>
      </c>
      <c r="C83" s="60" t="s">
        <v>68</v>
      </c>
      <c r="D83" s="59" t="s">
        <v>15</v>
      </c>
      <c r="E83" s="79"/>
      <c r="F83" s="60" t="s">
        <v>70</v>
      </c>
      <c r="G83" s="60" t="s">
        <v>71</v>
      </c>
      <c r="H83" s="59" t="s">
        <v>72</v>
      </c>
      <c r="I83" s="59" t="s">
        <v>23</v>
      </c>
      <c r="J83" s="79"/>
      <c r="K83" s="70" t="s">
        <v>68</v>
      </c>
      <c r="L83" s="74">
        <v>0.80208333333334603</v>
      </c>
      <c r="M83" s="76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92"/>
      <c r="BO83" s="92"/>
      <c r="BP83" s="92"/>
      <c r="BQ83" s="92"/>
      <c r="BR83" s="92"/>
      <c r="BS83" s="74">
        <v>0.80208333333334603</v>
      </c>
      <c r="BT83" s="81" t="s">
        <v>226</v>
      </c>
      <c r="BU83" s="81" t="s">
        <v>228</v>
      </c>
      <c r="BV83" s="81"/>
      <c r="BW83" s="81"/>
      <c r="BX83" s="81" t="s">
        <v>46</v>
      </c>
      <c r="BY83" s="81" t="s">
        <v>49</v>
      </c>
      <c r="BZ83" s="81" t="s">
        <v>51</v>
      </c>
      <c r="CA83" s="81"/>
      <c r="CB83" s="81"/>
      <c r="CC83" s="92"/>
      <c r="CD83" s="92"/>
      <c r="CE83" s="92"/>
      <c r="CF83" s="92"/>
      <c r="CG83" s="92"/>
      <c r="CH83" s="92"/>
      <c r="CI83" s="92"/>
    </row>
    <row r="84" spans="1:87" x14ac:dyDescent="0.2">
      <c r="A84" s="93" t="s">
        <v>6</v>
      </c>
      <c r="B84" s="60" t="s">
        <v>69</v>
      </c>
      <c r="C84" s="60" t="s">
        <v>68</v>
      </c>
      <c r="D84" s="59" t="s">
        <v>15</v>
      </c>
      <c r="E84" s="79"/>
      <c r="F84" s="60" t="s">
        <v>70</v>
      </c>
      <c r="G84" s="60" t="s">
        <v>71</v>
      </c>
      <c r="H84" s="60" t="s">
        <v>72</v>
      </c>
      <c r="I84" s="59" t="s">
        <v>23</v>
      </c>
      <c r="J84" s="79"/>
      <c r="K84" s="70" t="s">
        <v>68</v>
      </c>
      <c r="L84" s="74">
        <v>0.81250000000001299</v>
      </c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76">
        <f>-SUM(W5:W83)</f>
        <v>-37</v>
      </c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76">
        <f>-SUM(BD5:BD83)</f>
        <v>-20</v>
      </c>
      <c r="BE84" s="81"/>
      <c r="BF84" s="81"/>
      <c r="BG84" s="81"/>
      <c r="BH84" s="81"/>
      <c r="BI84" s="81"/>
      <c r="BJ84" s="81"/>
      <c r="BK84" s="81"/>
      <c r="BL84" s="81"/>
      <c r="BM84" s="81"/>
      <c r="BN84" s="92"/>
      <c r="BO84" s="92"/>
      <c r="BP84" s="92"/>
      <c r="BQ84" s="92"/>
      <c r="BR84" s="92"/>
      <c r="BS84" s="74">
        <v>0.81250000000001299</v>
      </c>
      <c r="BT84" s="81"/>
      <c r="BU84" s="81" t="s">
        <v>228</v>
      </c>
      <c r="BV84" s="81" t="s">
        <v>230</v>
      </c>
      <c r="BW84" s="81"/>
      <c r="BX84" s="81" t="s">
        <v>46</v>
      </c>
      <c r="BY84" s="81" t="s">
        <v>49</v>
      </c>
      <c r="BZ84" s="81" t="s">
        <v>51</v>
      </c>
      <c r="CA84" s="83" t="s">
        <v>231</v>
      </c>
      <c r="CB84" s="81"/>
      <c r="CC84" s="92"/>
      <c r="CD84" s="92"/>
      <c r="CE84" s="92"/>
      <c r="CF84" s="92"/>
      <c r="CG84" s="92"/>
      <c r="CH84" s="92"/>
      <c r="CI84" s="92"/>
    </row>
    <row r="85" spans="1:87" x14ac:dyDescent="0.2">
      <c r="A85" s="93" t="s">
        <v>6</v>
      </c>
      <c r="B85" s="60" t="s">
        <v>69</v>
      </c>
      <c r="C85" s="60" t="s">
        <v>68</v>
      </c>
      <c r="D85" s="59" t="s">
        <v>15</v>
      </c>
      <c r="E85" s="79"/>
      <c r="F85" s="60" t="s">
        <v>70</v>
      </c>
      <c r="G85" s="60" t="s">
        <v>71</v>
      </c>
      <c r="H85" s="60" t="s">
        <v>72</v>
      </c>
      <c r="I85" s="59" t="s">
        <v>23</v>
      </c>
      <c r="J85" s="79"/>
      <c r="K85" s="70" t="s">
        <v>68</v>
      </c>
      <c r="L85" s="74">
        <v>0.82291666666667995</v>
      </c>
      <c r="M85" s="81">
        <v>0</v>
      </c>
      <c r="N85" s="81">
        <v>2</v>
      </c>
      <c r="O85" s="81"/>
      <c r="P85" s="81">
        <v>0</v>
      </c>
      <c r="Q85" s="76">
        <f>-SUM(Q5:Q84)</f>
        <v>-64</v>
      </c>
      <c r="R85" s="81">
        <v>8</v>
      </c>
      <c r="S85" s="81">
        <v>3</v>
      </c>
      <c r="T85" s="81">
        <v>5</v>
      </c>
      <c r="U85" s="81"/>
      <c r="V85" s="81">
        <v>1</v>
      </c>
      <c r="W85" s="81"/>
      <c r="X85" s="81">
        <v>2</v>
      </c>
      <c r="Y85" s="81">
        <v>3</v>
      </c>
      <c r="Z85" s="81">
        <v>3</v>
      </c>
      <c r="AA85" s="81">
        <v>1</v>
      </c>
      <c r="AB85" s="81">
        <v>4</v>
      </c>
      <c r="AC85" s="81">
        <v>1</v>
      </c>
      <c r="AD85" s="81">
        <v>1</v>
      </c>
      <c r="AE85" s="81">
        <v>1</v>
      </c>
      <c r="AF85" s="81">
        <v>2</v>
      </c>
      <c r="AG85" s="81"/>
      <c r="AH85" s="81"/>
      <c r="AI85" s="81">
        <v>1</v>
      </c>
      <c r="AJ85" s="81">
        <v>1</v>
      </c>
      <c r="AK85" s="81">
        <v>1</v>
      </c>
      <c r="AL85" s="81"/>
      <c r="AM85" s="81">
        <v>4</v>
      </c>
      <c r="AN85" s="81">
        <v>3</v>
      </c>
      <c r="AO85" s="81">
        <v>1</v>
      </c>
      <c r="AP85" s="81">
        <v>3</v>
      </c>
      <c r="AQ85" s="81">
        <v>2</v>
      </c>
      <c r="AR85" s="81"/>
      <c r="AS85" s="81">
        <v>1</v>
      </c>
      <c r="AT85" s="81"/>
      <c r="AU85" s="81"/>
      <c r="AV85" s="81">
        <v>2</v>
      </c>
      <c r="AW85" s="76">
        <f>-SUM(AW5:AW84)</f>
        <v>-56</v>
      </c>
      <c r="AX85" s="81">
        <v>4</v>
      </c>
      <c r="AY85" s="81">
        <v>1</v>
      </c>
      <c r="AZ85" s="81">
        <v>2</v>
      </c>
      <c r="BA85" s="81"/>
      <c r="BB85" s="81"/>
      <c r="BC85" s="81">
        <v>4</v>
      </c>
      <c r="BD85" s="81">
        <v>0</v>
      </c>
      <c r="BE85" s="81"/>
      <c r="BF85" s="81">
        <v>2</v>
      </c>
      <c r="BG85" s="81">
        <v>5</v>
      </c>
      <c r="BH85" s="81">
        <v>3</v>
      </c>
      <c r="BI85" s="81">
        <v>1</v>
      </c>
      <c r="BJ85" s="81">
        <v>1</v>
      </c>
      <c r="BK85" s="81">
        <v>1</v>
      </c>
      <c r="BL85" s="81">
        <v>1</v>
      </c>
      <c r="BM85" s="56">
        <v>81</v>
      </c>
      <c r="BN85" s="92"/>
      <c r="BO85" s="92"/>
      <c r="BP85" s="92"/>
      <c r="BQ85" s="92"/>
      <c r="BR85" s="92"/>
      <c r="BS85" s="74">
        <v>0.82291666666667995</v>
      </c>
      <c r="BT85" s="81" t="s">
        <v>232</v>
      </c>
      <c r="BU85" s="81" t="s">
        <v>228</v>
      </c>
      <c r="BV85" s="81" t="s">
        <v>230</v>
      </c>
      <c r="BW85" s="81"/>
      <c r="BX85" s="81" t="s">
        <v>46</v>
      </c>
      <c r="BY85" s="81" t="s">
        <v>49</v>
      </c>
      <c r="BZ85" s="81" t="s">
        <v>51</v>
      </c>
      <c r="CA85" s="81" t="s">
        <v>52</v>
      </c>
      <c r="CB85" s="81"/>
      <c r="CC85" s="83" t="s">
        <v>233</v>
      </c>
      <c r="CD85" s="92"/>
      <c r="CE85" s="92"/>
      <c r="CF85" s="92"/>
      <c r="CG85" s="92"/>
      <c r="CH85" s="92"/>
      <c r="CI85" s="92"/>
    </row>
    <row r="86" spans="1:87" x14ac:dyDescent="0.2">
      <c r="A86" s="93" t="s">
        <v>6</v>
      </c>
      <c r="B86" s="60" t="s">
        <v>69</v>
      </c>
      <c r="C86" s="79"/>
      <c r="D86" s="59" t="s">
        <v>15</v>
      </c>
      <c r="E86" s="59" t="s">
        <v>32</v>
      </c>
      <c r="F86" s="60" t="s">
        <v>70</v>
      </c>
      <c r="G86" s="60" t="s">
        <v>71</v>
      </c>
      <c r="H86" s="60" t="s">
        <v>72</v>
      </c>
      <c r="I86" s="59" t="s">
        <v>23</v>
      </c>
      <c r="J86" s="79"/>
      <c r="K86" s="70" t="s">
        <v>69</v>
      </c>
      <c r="L86" s="71">
        <v>0.83333333333334703</v>
      </c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90"/>
      <c r="BO86" s="90"/>
      <c r="BP86" s="90"/>
      <c r="BQ86" s="90"/>
      <c r="BR86" s="90"/>
      <c r="BS86" s="71">
        <v>0.83333333333334703</v>
      </c>
      <c r="BT86" s="81" t="s">
        <v>232</v>
      </c>
      <c r="BU86" s="81"/>
      <c r="BV86" s="81" t="s">
        <v>230</v>
      </c>
      <c r="BW86" s="81"/>
      <c r="BX86" s="81"/>
      <c r="BY86" s="81" t="s">
        <v>49</v>
      </c>
      <c r="BZ86" s="81" t="s">
        <v>51</v>
      </c>
      <c r="CA86" s="81" t="s">
        <v>52</v>
      </c>
      <c r="CB86" s="81"/>
      <c r="CC86" s="81" t="s">
        <v>54</v>
      </c>
      <c r="CD86" s="92"/>
      <c r="CE86" s="92"/>
      <c r="CF86" s="92"/>
      <c r="CG86" s="92"/>
      <c r="CH86" s="92"/>
      <c r="CI86" s="92"/>
    </row>
    <row r="87" spans="1:87" x14ac:dyDescent="0.2">
      <c r="A87" s="93" t="s">
        <v>6</v>
      </c>
      <c r="B87" s="60" t="s">
        <v>69</v>
      </c>
      <c r="C87" s="79"/>
      <c r="D87" s="59" t="s">
        <v>15</v>
      </c>
      <c r="E87" s="59" t="s">
        <v>32</v>
      </c>
      <c r="F87" s="60" t="s">
        <v>70</v>
      </c>
      <c r="G87" s="60" t="s">
        <v>71</v>
      </c>
      <c r="H87" s="60" t="s">
        <v>72</v>
      </c>
      <c r="I87" s="59" t="s">
        <v>23</v>
      </c>
      <c r="J87" s="79"/>
      <c r="K87" s="70" t="s">
        <v>69</v>
      </c>
      <c r="L87" s="71">
        <v>0.84375000000001399</v>
      </c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90"/>
      <c r="BO87" s="90"/>
      <c r="BP87" s="90"/>
      <c r="BQ87" s="90"/>
      <c r="BR87" s="90"/>
      <c r="BS87" s="71">
        <v>0.84375000000001399</v>
      </c>
      <c r="BT87" s="81" t="s">
        <v>232</v>
      </c>
      <c r="BU87" s="81"/>
      <c r="BV87" s="81" t="s">
        <v>230</v>
      </c>
      <c r="BW87" s="81"/>
      <c r="BX87" s="81"/>
      <c r="BY87" s="81" t="s">
        <v>49</v>
      </c>
      <c r="BZ87" s="81" t="s">
        <v>51</v>
      </c>
      <c r="CA87" s="81" t="s">
        <v>52</v>
      </c>
      <c r="CB87" s="81"/>
      <c r="CC87" s="81" t="s">
        <v>54</v>
      </c>
      <c r="CD87" s="92"/>
      <c r="CE87" s="92"/>
      <c r="CF87" s="92"/>
      <c r="CG87" s="92"/>
      <c r="CH87" s="92"/>
      <c r="CI87" s="92"/>
    </row>
    <row r="88" spans="1:87" x14ac:dyDescent="0.2">
      <c r="A88" s="93" t="s">
        <v>6</v>
      </c>
      <c r="B88" s="60" t="s">
        <v>69</v>
      </c>
      <c r="C88" s="79"/>
      <c r="D88" s="59" t="s">
        <v>15</v>
      </c>
      <c r="E88" s="59" t="s">
        <v>32</v>
      </c>
      <c r="F88" s="60" t="s">
        <v>70</v>
      </c>
      <c r="G88" s="60" t="s">
        <v>71</v>
      </c>
      <c r="H88" s="60" t="s">
        <v>72</v>
      </c>
      <c r="I88" s="59" t="s">
        <v>23</v>
      </c>
      <c r="J88" s="79"/>
      <c r="K88" s="70" t="s">
        <v>69</v>
      </c>
      <c r="L88" s="71">
        <v>0.85416666666668095</v>
      </c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90"/>
      <c r="BO88" s="90"/>
      <c r="BP88" s="90"/>
      <c r="BQ88" s="90"/>
      <c r="BR88" s="90"/>
      <c r="BS88" s="71">
        <v>0.85416666666668095</v>
      </c>
      <c r="BT88" s="81" t="s">
        <v>232</v>
      </c>
      <c r="BU88" s="81"/>
      <c r="BV88" s="81"/>
      <c r="BW88" s="81"/>
      <c r="BX88" s="81"/>
      <c r="BY88" s="81" t="s">
        <v>49</v>
      </c>
      <c r="BZ88" s="81" t="s">
        <v>51</v>
      </c>
      <c r="CA88" s="81" t="s">
        <v>52</v>
      </c>
      <c r="CB88" s="85"/>
      <c r="CC88" s="81" t="s">
        <v>54</v>
      </c>
      <c r="CD88" s="92"/>
      <c r="CE88" s="92"/>
      <c r="CF88" s="92"/>
      <c r="CG88" s="92"/>
      <c r="CH88" s="92"/>
      <c r="CI88" s="92"/>
    </row>
    <row r="89" spans="1:87" x14ac:dyDescent="0.2">
      <c r="A89" s="57" t="s">
        <v>6</v>
      </c>
      <c r="B89" s="60" t="s">
        <v>69</v>
      </c>
      <c r="C89" s="79"/>
      <c r="D89" s="59" t="s">
        <v>15</v>
      </c>
      <c r="E89" s="59" t="s">
        <v>32</v>
      </c>
      <c r="F89" s="60" t="s">
        <v>70</v>
      </c>
      <c r="G89" s="60" t="s">
        <v>71</v>
      </c>
      <c r="H89" s="60" t="s">
        <v>72</v>
      </c>
      <c r="I89" s="59" t="s">
        <v>23</v>
      </c>
      <c r="J89" s="79"/>
      <c r="K89" s="70" t="s">
        <v>69</v>
      </c>
      <c r="L89" s="71">
        <v>0.86458333333334803</v>
      </c>
      <c r="M89" s="89">
        <v>2</v>
      </c>
      <c r="N89" s="89">
        <v>3</v>
      </c>
      <c r="O89" s="89"/>
      <c r="P89" s="89">
        <v>3</v>
      </c>
      <c r="Q89" s="89">
        <v>2</v>
      </c>
      <c r="R89" s="89">
        <v>2</v>
      </c>
      <c r="S89" s="89">
        <v>2</v>
      </c>
      <c r="T89" s="89">
        <v>3</v>
      </c>
      <c r="U89" s="89"/>
      <c r="V89" s="89">
        <v>1</v>
      </c>
      <c r="W89" s="89"/>
      <c r="X89" s="89">
        <v>1</v>
      </c>
      <c r="Y89" s="89">
        <v>1</v>
      </c>
      <c r="Z89" s="89"/>
      <c r="AA89" s="89">
        <v>1</v>
      </c>
      <c r="AB89" s="89"/>
      <c r="AC89" s="89">
        <v>3</v>
      </c>
      <c r="AD89" s="89"/>
      <c r="AE89" s="89">
        <v>1</v>
      </c>
      <c r="AF89" s="89">
        <v>1</v>
      </c>
      <c r="AG89" s="89">
        <v>4</v>
      </c>
      <c r="AH89" s="89">
        <v>1</v>
      </c>
      <c r="AI89" s="89">
        <v>1</v>
      </c>
      <c r="AJ89" s="89">
        <v>1</v>
      </c>
      <c r="AK89" s="89"/>
      <c r="AL89" s="89">
        <v>1</v>
      </c>
      <c r="AM89" s="89">
        <v>2</v>
      </c>
      <c r="AN89" s="89">
        <v>1</v>
      </c>
      <c r="AO89" s="89">
        <v>1</v>
      </c>
      <c r="AP89" s="89">
        <v>2</v>
      </c>
      <c r="AQ89" s="89">
        <v>1</v>
      </c>
      <c r="AR89" s="89">
        <v>4</v>
      </c>
      <c r="AS89" s="89">
        <v>1</v>
      </c>
      <c r="AT89" s="89">
        <v>3</v>
      </c>
      <c r="AU89" s="89"/>
      <c r="AV89" s="89"/>
      <c r="AW89" s="89">
        <v>4</v>
      </c>
      <c r="AX89" s="89">
        <v>2</v>
      </c>
      <c r="AY89" s="89"/>
      <c r="AZ89" s="89">
        <v>4</v>
      </c>
      <c r="BA89" s="89">
        <v>1</v>
      </c>
      <c r="BB89" s="89">
        <v>1</v>
      </c>
      <c r="BC89" s="89">
        <v>3</v>
      </c>
      <c r="BD89" s="89">
        <v>1</v>
      </c>
      <c r="BE89" s="89">
        <v>2</v>
      </c>
      <c r="BF89" s="89">
        <v>3</v>
      </c>
      <c r="BG89" s="89">
        <v>7</v>
      </c>
      <c r="BH89" s="89"/>
      <c r="BI89" s="89"/>
      <c r="BJ89" s="89"/>
      <c r="BK89" s="89"/>
      <c r="BL89" s="89"/>
      <c r="BM89" s="63">
        <f>SUM(M89:BL89)</f>
        <v>77</v>
      </c>
      <c r="BN89" s="90"/>
      <c r="BO89" s="90"/>
      <c r="BP89" s="90"/>
      <c r="BQ89" s="90"/>
      <c r="BR89" s="90"/>
      <c r="BS89" s="71">
        <v>0.86458333333334803</v>
      </c>
      <c r="BT89" s="81"/>
      <c r="BU89" s="81"/>
      <c r="BV89" s="81"/>
      <c r="BW89" s="81"/>
      <c r="BX89" s="81"/>
      <c r="BY89" s="81" t="s">
        <v>49</v>
      </c>
      <c r="BZ89" s="81" t="s">
        <v>51</v>
      </c>
      <c r="CA89" s="91" t="s">
        <v>52</v>
      </c>
      <c r="CB89" s="68"/>
      <c r="CC89" s="88" t="s">
        <v>54</v>
      </c>
      <c r="CD89" s="92"/>
      <c r="CE89" s="92"/>
      <c r="CF89" s="92"/>
      <c r="CG89" s="92"/>
      <c r="CH89" s="92"/>
      <c r="CI89" s="92"/>
    </row>
    <row r="90" spans="1:87" x14ac:dyDescent="0.2">
      <c r="A90" s="57" t="s">
        <v>6</v>
      </c>
      <c r="B90" s="79"/>
      <c r="C90" s="79"/>
      <c r="D90" s="60" t="s">
        <v>15</v>
      </c>
      <c r="E90" s="59" t="s">
        <v>32</v>
      </c>
      <c r="F90" s="60" t="s">
        <v>70</v>
      </c>
      <c r="G90" s="60" t="s">
        <v>71</v>
      </c>
      <c r="H90" s="60" t="s">
        <v>72</v>
      </c>
      <c r="I90" s="60" t="s">
        <v>23</v>
      </c>
      <c r="J90" s="79"/>
      <c r="K90" s="70" t="s">
        <v>70</v>
      </c>
      <c r="L90" s="74">
        <v>0.87500000000001499</v>
      </c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76">
        <f>-SUM(Z5:Z89)</f>
        <v>-78</v>
      </c>
      <c r="AA90" s="76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99"/>
      <c r="AV90" s="76">
        <f>-SUM(AV5:AV89)</f>
        <v>-42</v>
      </c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76" t="s">
        <v>210</v>
      </c>
      <c r="BI90" s="81"/>
      <c r="BJ90" s="81"/>
      <c r="BK90" s="81"/>
      <c r="BL90" s="76">
        <v>-12</v>
      </c>
      <c r="BM90" s="81"/>
      <c r="BN90" s="92"/>
      <c r="BO90" s="92"/>
      <c r="BP90" s="92"/>
      <c r="BQ90" s="92"/>
      <c r="BR90" s="92"/>
      <c r="BS90" s="74">
        <v>0.87500000000001499</v>
      </c>
      <c r="BT90" s="81" t="s">
        <v>234</v>
      </c>
      <c r="BU90" s="81" t="s">
        <v>235</v>
      </c>
      <c r="BV90" s="81" t="s">
        <v>236</v>
      </c>
      <c r="BW90" s="81"/>
      <c r="BX90" s="83" t="s">
        <v>237</v>
      </c>
      <c r="BY90" s="81" t="s">
        <v>49</v>
      </c>
      <c r="BZ90" s="81" t="s">
        <v>51</v>
      </c>
      <c r="CA90" s="91" t="s">
        <v>52</v>
      </c>
      <c r="CB90" s="68"/>
      <c r="CC90" s="88" t="s">
        <v>54</v>
      </c>
      <c r="CD90" s="92"/>
      <c r="CE90" s="92"/>
      <c r="CF90" s="92"/>
      <c r="CG90" s="92"/>
      <c r="CH90" s="92"/>
      <c r="CI90" s="92"/>
    </row>
    <row r="91" spans="1:87" x14ac:dyDescent="0.2">
      <c r="A91" s="57" t="s">
        <v>6</v>
      </c>
      <c r="B91" s="79"/>
      <c r="C91" s="79"/>
      <c r="D91" s="60" t="s">
        <v>15</v>
      </c>
      <c r="E91" s="59" t="s">
        <v>32</v>
      </c>
      <c r="F91" s="60" t="s">
        <v>70</v>
      </c>
      <c r="G91" s="60" t="s">
        <v>71</v>
      </c>
      <c r="H91" s="60" t="s">
        <v>72</v>
      </c>
      <c r="I91" s="60" t="s">
        <v>23</v>
      </c>
      <c r="J91" s="79"/>
      <c r="K91" s="70" t="s">
        <v>70</v>
      </c>
      <c r="L91" s="74">
        <v>0.88541666666668195</v>
      </c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92"/>
      <c r="BO91" s="92"/>
      <c r="BP91" s="92"/>
      <c r="BQ91" s="92"/>
      <c r="BR91" s="92"/>
      <c r="BS91" s="74">
        <v>0.88541666666668195</v>
      </c>
      <c r="BT91" s="81" t="s">
        <v>234</v>
      </c>
      <c r="BU91" s="81" t="s">
        <v>235</v>
      </c>
      <c r="BV91" s="81" t="s">
        <v>236</v>
      </c>
      <c r="BW91" s="81"/>
      <c r="BX91" s="81" t="s">
        <v>7</v>
      </c>
      <c r="BY91" s="81" t="s">
        <v>49</v>
      </c>
      <c r="BZ91" s="81" t="s">
        <v>51</v>
      </c>
      <c r="CA91" s="91" t="s">
        <v>52</v>
      </c>
      <c r="CB91" s="68"/>
      <c r="CC91" s="88" t="s">
        <v>54</v>
      </c>
      <c r="CD91" s="92"/>
      <c r="CE91" s="92"/>
      <c r="CF91" s="92"/>
      <c r="CG91" s="92"/>
      <c r="CH91" s="92"/>
      <c r="CI91" s="92"/>
    </row>
    <row r="92" spans="1:87" x14ac:dyDescent="0.2">
      <c r="A92" s="57" t="s">
        <v>6</v>
      </c>
      <c r="B92" s="79"/>
      <c r="C92" s="79"/>
      <c r="D92" s="60" t="s">
        <v>15</v>
      </c>
      <c r="E92" s="59" t="s">
        <v>32</v>
      </c>
      <c r="F92" s="60" t="s">
        <v>70</v>
      </c>
      <c r="G92" s="60" t="s">
        <v>71</v>
      </c>
      <c r="H92" s="60" t="s">
        <v>72</v>
      </c>
      <c r="I92" s="60" t="s">
        <v>23</v>
      </c>
      <c r="J92" s="79"/>
      <c r="K92" s="70" t="s">
        <v>70</v>
      </c>
      <c r="L92" s="74">
        <v>0.89583333333334902</v>
      </c>
      <c r="M92" s="85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92"/>
      <c r="BO92" s="92"/>
      <c r="BP92" s="92"/>
      <c r="BQ92" s="92"/>
      <c r="BR92" s="92"/>
      <c r="BS92" s="74">
        <v>0.89583333333334902</v>
      </c>
      <c r="BT92" s="81" t="s">
        <v>234</v>
      </c>
      <c r="BU92" s="81" t="s">
        <v>235</v>
      </c>
      <c r="BV92" s="81" t="s">
        <v>236</v>
      </c>
      <c r="BW92" s="81"/>
      <c r="BX92" s="81" t="s">
        <v>7</v>
      </c>
      <c r="BY92" s="81" t="s">
        <v>49</v>
      </c>
      <c r="BZ92" s="81" t="s">
        <v>51</v>
      </c>
      <c r="CA92" s="91" t="s">
        <v>52</v>
      </c>
      <c r="CB92" s="68"/>
      <c r="CC92" s="88" t="s">
        <v>54</v>
      </c>
      <c r="CD92" s="92"/>
      <c r="CE92" s="92"/>
      <c r="CF92" s="92"/>
      <c r="CG92" s="92"/>
      <c r="CH92" s="92"/>
      <c r="CI92" s="92"/>
    </row>
    <row r="93" spans="1:87" x14ac:dyDescent="0.2">
      <c r="A93" s="57" t="s">
        <v>6</v>
      </c>
      <c r="B93" s="79"/>
      <c r="C93" s="79"/>
      <c r="D93" s="60" t="s">
        <v>15</v>
      </c>
      <c r="E93" s="59" t="s">
        <v>32</v>
      </c>
      <c r="F93" s="60" t="s">
        <v>70</v>
      </c>
      <c r="G93" s="60" t="s">
        <v>71</v>
      </c>
      <c r="H93" s="60" t="s">
        <v>72</v>
      </c>
      <c r="I93" s="60" t="s">
        <v>23</v>
      </c>
      <c r="J93" s="79"/>
      <c r="K93" s="70" t="s">
        <v>70</v>
      </c>
      <c r="L93" s="74">
        <v>0.90625000000001599</v>
      </c>
      <c r="M93" s="100"/>
      <c r="N93" s="88">
        <v>2</v>
      </c>
      <c r="O93" s="81"/>
      <c r="P93" s="1"/>
      <c r="Q93" s="81">
        <v>12</v>
      </c>
      <c r="R93" s="81">
        <v>7</v>
      </c>
      <c r="S93" s="81">
        <v>1</v>
      </c>
      <c r="T93" s="81">
        <v>8</v>
      </c>
      <c r="U93" s="81"/>
      <c r="V93" s="81"/>
      <c r="W93" s="81">
        <v>2</v>
      </c>
      <c r="X93" s="81"/>
      <c r="Y93" s="81">
        <v>12</v>
      </c>
      <c r="Z93" s="81"/>
      <c r="AA93" s="81"/>
      <c r="AB93" s="81">
        <v>2</v>
      </c>
      <c r="AC93" s="81"/>
      <c r="AD93" s="81"/>
      <c r="AE93" s="81"/>
      <c r="AF93" s="81">
        <v>1</v>
      </c>
      <c r="AG93" s="81">
        <v>1</v>
      </c>
      <c r="AH93" s="81"/>
      <c r="AI93" s="81">
        <v>11</v>
      </c>
      <c r="AJ93" s="81"/>
      <c r="AK93" s="81"/>
      <c r="AL93" s="81"/>
      <c r="AM93" s="81"/>
      <c r="AN93" s="81"/>
      <c r="AO93" s="81"/>
      <c r="AP93" s="81">
        <v>1</v>
      </c>
      <c r="AQ93" s="81">
        <v>10</v>
      </c>
      <c r="AR93" s="81"/>
      <c r="AS93" s="81">
        <v>2</v>
      </c>
      <c r="AT93" s="81"/>
      <c r="AU93" s="81"/>
      <c r="AV93" s="81"/>
      <c r="AW93" s="81">
        <v>6</v>
      </c>
      <c r="AX93" s="81"/>
      <c r="AY93" s="81"/>
      <c r="AZ93" s="81"/>
      <c r="BA93" s="81"/>
      <c r="BB93" s="81"/>
      <c r="BC93" s="81">
        <v>1</v>
      </c>
      <c r="BD93" s="1"/>
      <c r="BE93" s="81"/>
      <c r="BF93" s="81"/>
      <c r="BG93" s="81">
        <v>1</v>
      </c>
      <c r="BH93" s="81"/>
      <c r="BI93" s="81"/>
      <c r="BJ93" s="81"/>
      <c r="BK93" s="81"/>
      <c r="BL93" s="81"/>
      <c r="BM93" s="81"/>
      <c r="BN93" s="92"/>
      <c r="BO93" s="92"/>
      <c r="BP93" s="92"/>
      <c r="BQ93" s="92"/>
      <c r="BR93" s="92"/>
      <c r="BS93" s="74">
        <v>0.90625000000001599</v>
      </c>
      <c r="BT93" s="81" t="s">
        <v>234</v>
      </c>
      <c r="BU93" s="81" t="s">
        <v>235</v>
      </c>
      <c r="BV93" s="81" t="s">
        <v>236</v>
      </c>
      <c r="BW93" s="81"/>
      <c r="BX93" s="81" t="s">
        <v>7</v>
      </c>
      <c r="BY93" s="81" t="s">
        <v>49</v>
      </c>
      <c r="BZ93" s="81" t="s">
        <v>51</v>
      </c>
      <c r="CA93" s="91" t="s">
        <v>52</v>
      </c>
      <c r="CB93" s="68"/>
      <c r="CC93" s="88" t="s">
        <v>54</v>
      </c>
      <c r="CD93" s="92"/>
      <c r="CE93" s="92"/>
      <c r="CF93" s="92"/>
      <c r="CG93" s="92"/>
      <c r="CH93" s="92"/>
      <c r="CI93" s="92"/>
    </row>
    <row r="94" spans="1:87" x14ac:dyDescent="0.2">
      <c r="A94" s="57" t="s">
        <v>6</v>
      </c>
      <c r="B94" s="79"/>
      <c r="C94" s="79"/>
      <c r="D94" s="60" t="s">
        <v>15</v>
      </c>
      <c r="E94" s="59" t="s">
        <v>32</v>
      </c>
      <c r="F94" s="79"/>
      <c r="G94" s="60" t="s">
        <v>71</v>
      </c>
      <c r="H94" s="60" t="s">
        <v>72</v>
      </c>
      <c r="I94" s="60" t="s">
        <v>23</v>
      </c>
      <c r="J94" s="79"/>
      <c r="K94" s="70" t="s">
        <v>71</v>
      </c>
      <c r="L94" s="71">
        <v>0.91666666666668295</v>
      </c>
      <c r="M94" s="101"/>
      <c r="N94" s="89"/>
      <c r="O94" s="89"/>
      <c r="P94" s="89"/>
      <c r="Q94" s="89"/>
      <c r="R94" s="89"/>
      <c r="S94" s="89"/>
      <c r="T94" s="89"/>
      <c r="U94" s="87">
        <f>-SUM(U5:U93)</f>
        <v>-22</v>
      </c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7">
        <f>-SUM(AR5:AR93)</f>
        <v>-9</v>
      </c>
      <c r="AS94" s="89"/>
      <c r="AT94" s="89"/>
      <c r="AU94" s="89"/>
      <c r="AV94" s="89"/>
      <c r="AW94" s="89"/>
      <c r="AX94" s="89"/>
      <c r="AY94" s="89"/>
      <c r="AZ94" s="87">
        <f>-SUM(AZ5:AZ93)</f>
        <v>-66</v>
      </c>
      <c r="BA94" s="89"/>
      <c r="BB94" s="89"/>
      <c r="BC94" s="89"/>
      <c r="BD94" s="89"/>
      <c r="BE94" s="89"/>
      <c r="BF94" s="89"/>
      <c r="BG94" s="89"/>
      <c r="BH94" s="76" t="s">
        <v>162</v>
      </c>
      <c r="BI94" s="76" t="s">
        <v>166</v>
      </c>
      <c r="BJ94" s="89"/>
      <c r="BK94" s="89"/>
      <c r="BL94" s="89"/>
      <c r="BM94" s="89"/>
      <c r="BN94" s="90"/>
      <c r="BO94" s="90"/>
      <c r="BP94" s="90"/>
      <c r="BQ94" s="90"/>
      <c r="BR94" s="90"/>
      <c r="BS94" s="71">
        <v>0.91666666666668295</v>
      </c>
      <c r="BT94" s="81" t="s">
        <v>238</v>
      </c>
      <c r="BU94" s="91" t="s">
        <v>239</v>
      </c>
      <c r="BV94" s="102" t="s">
        <v>240</v>
      </c>
      <c r="BW94" s="88"/>
      <c r="BX94" s="81" t="s">
        <v>7</v>
      </c>
      <c r="BY94" s="81" t="s">
        <v>49</v>
      </c>
      <c r="BZ94" s="81" t="s">
        <v>51</v>
      </c>
      <c r="CA94" s="91" t="s">
        <v>52</v>
      </c>
      <c r="CB94" s="68"/>
      <c r="CC94" s="88" t="s">
        <v>54</v>
      </c>
      <c r="CD94" s="83" t="s">
        <v>241</v>
      </c>
      <c r="CE94" s="92"/>
      <c r="CF94" s="92"/>
      <c r="CG94" s="92"/>
      <c r="CH94" s="92"/>
      <c r="CI94" s="92"/>
    </row>
    <row r="95" spans="1:87" x14ac:dyDescent="0.2">
      <c r="A95" s="57" t="s">
        <v>6</v>
      </c>
      <c r="B95" s="79"/>
      <c r="C95" s="79"/>
      <c r="D95" s="60" t="s">
        <v>15</v>
      </c>
      <c r="E95" s="59" t="s">
        <v>32</v>
      </c>
      <c r="F95" s="79"/>
      <c r="G95" s="60" t="s">
        <v>71</v>
      </c>
      <c r="H95" s="60" t="s">
        <v>72</v>
      </c>
      <c r="I95" s="60" t="s">
        <v>23</v>
      </c>
      <c r="J95" s="79"/>
      <c r="K95" s="70" t="s">
        <v>71</v>
      </c>
      <c r="L95" s="71">
        <v>0.92708333333335002</v>
      </c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90"/>
      <c r="BO95" s="90"/>
      <c r="BP95" s="90"/>
      <c r="BQ95" s="90"/>
      <c r="BR95" s="90"/>
      <c r="BS95" s="71">
        <v>0.92708333333335002</v>
      </c>
      <c r="BT95" s="81" t="s">
        <v>238</v>
      </c>
      <c r="BU95" s="91" t="s">
        <v>239</v>
      </c>
      <c r="BV95" s="102" t="s">
        <v>240</v>
      </c>
      <c r="BW95" s="88"/>
      <c r="BX95" s="81" t="s">
        <v>7</v>
      </c>
      <c r="BY95" s="81" t="s">
        <v>49</v>
      </c>
      <c r="BZ95" s="81" t="s">
        <v>51</v>
      </c>
      <c r="CA95" s="91" t="s">
        <v>52</v>
      </c>
      <c r="CB95" s="68"/>
      <c r="CC95" s="88" t="s">
        <v>54</v>
      </c>
      <c r="CD95" s="81" t="s">
        <v>9</v>
      </c>
      <c r="CE95" s="92"/>
      <c r="CF95" s="92"/>
      <c r="CG95" s="92"/>
      <c r="CH95" s="92"/>
      <c r="CI95" s="92"/>
    </row>
    <row r="96" spans="1:87" x14ac:dyDescent="0.2">
      <c r="A96" s="57" t="s">
        <v>6</v>
      </c>
      <c r="B96" s="79"/>
      <c r="C96" s="79"/>
      <c r="D96" s="60" t="s">
        <v>15</v>
      </c>
      <c r="E96" s="59" t="s">
        <v>32</v>
      </c>
      <c r="F96" s="79"/>
      <c r="G96" s="60" t="s">
        <v>71</v>
      </c>
      <c r="H96" s="60" t="s">
        <v>72</v>
      </c>
      <c r="I96" s="60" t="s">
        <v>23</v>
      </c>
      <c r="J96" s="79"/>
      <c r="K96" s="70" t="s">
        <v>71</v>
      </c>
      <c r="L96" s="71">
        <v>0.93750000000001699</v>
      </c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90"/>
      <c r="BO96" s="90"/>
      <c r="BP96" s="90"/>
      <c r="BQ96" s="90"/>
      <c r="BR96" s="90"/>
      <c r="BS96" s="71">
        <v>0.93750000000001699</v>
      </c>
      <c r="BT96" s="81" t="s">
        <v>238</v>
      </c>
      <c r="BU96" s="91" t="s">
        <v>239</v>
      </c>
      <c r="BV96" s="102" t="s">
        <v>240</v>
      </c>
      <c r="BW96" s="88"/>
      <c r="BX96" s="81" t="s">
        <v>7</v>
      </c>
      <c r="BY96" s="81"/>
      <c r="BZ96" s="81" t="s">
        <v>51</v>
      </c>
      <c r="CA96" s="91" t="s">
        <v>52</v>
      </c>
      <c r="CB96" s="68"/>
      <c r="CC96" s="88" t="s">
        <v>54</v>
      </c>
      <c r="CD96" s="81" t="s">
        <v>9</v>
      </c>
      <c r="CE96" s="92"/>
      <c r="CF96" s="92"/>
      <c r="CG96" s="92"/>
      <c r="CH96" s="92"/>
      <c r="CI96" s="92"/>
    </row>
    <row r="97" spans="1:87" ht="16" thickBot="1" x14ac:dyDescent="0.25">
      <c r="A97" s="57" t="s">
        <v>6</v>
      </c>
      <c r="B97" s="79"/>
      <c r="C97" s="79"/>
      <c r="D97" s="60" t="s">
        <v>15</v>
      </c>
      <c r="E97" s="59" t="s">
        <v>32</v>
      </c>
      <c r="F97" s="59" t="s">
        <v>40</v>
      </c>
      <c r="G97" s="60" t="s">
        <v>71</v>
      </c>
      <c r="H97" s="60" t="s">
        <v>72</v>
      </c>
      <c r="I97" s="60" t="s">
        <v>23</v>
      </c>
      <c r="J97" s="79"/>
      <c r="K97" s="70" t="s">
        <v>71</v>
      </c>
      <c r="L97" s="71">
        <v>0.94791666666668395</v>
      </c>
      <c r="M97" s="89">
        <v>3</v>
      </c>
      <c r="N97" s="89">
        <v>4</v>
      </c>
      <c r="O97" s="89"/>
      <c r="P97" s="89">
        <v>1</v>
      </c>
      <c r="Q97" s="89">
        <v>4</v>
      </c>
      <c r="R97" s="89">
        <v>3</v>
      </c>
      <c r="S97" s="89">
        <v>1</v>
      </c>
      <c r="T97" s="89">
        <v>3</v>
      </c>
      <c r="U97" s="89">
        <v>0</v>
      </c>
      <c r="V97" s="89">
        <v>1</v>
      </c>
      <c r="W97" s="89">
        <v>3</v>
      </c>
      <c r="X97" s="89">
        <v>3</v>
      </c>
      <c r="Y97" s="89">
        <v>4</v>
      </c>
      <c r="Z97" s="89">
        <v>4</v>
      </c>
      <c r="AA97" s="89">
        <v>2</v>
      </c>
      <c r="AB97" s="89">
        <v>3</v>
      </c>
      <c r="AC97" s="89">
        <v>2</v>
      </c>
      <c r="AD97" s="89">
        <v>2</v>
      </c>
      <c r="AE97" s="89"/>
      <c r="AF97" s="89">
        <v>4</v>
      </c>
      <c r="AG97" s="89">
        <v>2</v>
      </c>
      <c r="AH97" s="89"/>
      <c r="AI97" s="89">
        <v>7</v>
      </c>
      <c r="AJ97" s="89"/>
      <c r="AK97" s="89">
        <v>4</v>
      </c>
      <c r="AL97" s="89"/>
      <c r="AM97" s="89"/>
      <c r="AN97" s="89">
        <v>2</v>
      </c>
      <c r="AO97" s="89">
        <v>2</v>
      </c>
      <c r="AP97" s="89">
        <v>3</v>
      </c>
      <c r="AQ97" s="89">
        <v>2</v>
      </c>
      <c r="AR97" s="89"/>
      <c r="AS97" s="89"/>
      <c r="AT97" s="89"/>
      <c r="AU97" s="89"/>
      <c r="AV97" s="89">
        <v>4</v>
      </c>
      <c r="AW97" s="89">
        <v>2</v>
      </c>
      <c r="AX97" s="89">
        <v>9</v>
      </c>
      <c r="AY97" s="89">
        <v>2</v>
      </c>
      <c r="AZ97" s="89">
        <v>0</v>
      </c>
      <c r="BA97" s="89">
        <v>2</v>
      </c>
      <c r="BB97" s="89"/>
      <c r="BC97" s="89">
        <v>2</v>
      </c>
      <c r="BD97" s="89">
        <v>1</v>
      </c>
      <c r="BE97" s="89"/>
      <c r="BF97" s="89">
        <v>3</v>
      </c>
      <c r="BG97" s="89">
        <v>2</v>
      </c>
      <c r="BH97" s="89">
        <v>1</v>
      </c>
      <c r="BI97" s="89">
        <v>3</v>
      </c>
      <c r="BJ97" s="89"/>
      <c r="BK97" s="89"/>
      <c r="BL97" s="76">
        <f>-(1)</f>
        <v>-1</v>
      </c>
      <c r="BM97" s="63">
        <f>SUM(M97:BL97)</f>
        <v>99</v>
      </c>
      <c r="BN97" s="90"/>
      <c r="BO97" s="90"/>
      <c r="BP97" s="90"/>
      <c r="BQ97" s="90"/>
      <c r="BR97" s="90"/>
      <c r="BS97" s="71">
        <v>0.94791666666668395</v>
      </c>
      <c r="BT97" s="81" t="s">
        <v>238</v>
      </c>
      <c r="BU97" s="91" t="s">
        <v>239</v>
      </c>
      <c r="BV97" s="102" t="s">
        <v>240</v>
      </c>
      <c r="BW97" s="88"/>
      <c r="BX97" s="81" t="s">
        <v>7</v>
      </c>
      <c r="BY97" s="85"/>
      <c r="BZ97" s="81" t="s">
        <v>51</v>
      </c>
      <c r="CA97" s="91" t="s">
        <v>52</v>
      </c>
      <c r="CB97" s="68"/>
      <c r="CC97" s="88" t="s">
        <v>54</v>
      </c>
      <c r="CD97" s="103" t="s">
        <v>9</v>
      </c>
      <c r="CE97" s="92"/>
      <c r="CF97" s="92"/>
      <c r="CG97" s="92"/>
      <c r="CH97" s="92"/>
      <c r="CI97" s="92"/>
    </row>
    <row r="98" spans="1:87" x14ac:dyDescent="0.2">
      <c r="A98" s="57" t="s">
        <v>6</v>
      </c>
      <c r="B98" s="79"/>
      <c r="C98" s="79"/>
      <c r="D98" s="60" t="s">
        <v>15</v>
      </c>
      <c r="E98" s="60" t="s">
        <v>32</v>
      </c>
      <c r="F98" s="59" t="s">
        <v>40</v>
      </c>
      <c r="G98" s="79"/>
      <c r="H98" s="60" t="s">
        <v>72</v>
      </c>
      <c r="I98" s="60" t="s">
        <v>23</v>
      </c>
      <c r="J98" s="79"/>
      <c r="K98" s="70" t="s">
        <v>72</v>
      </c>
      <c r="L98" s="74">
        <v>0.95833333333335102</v>
      </c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92"/>
      <c r="BO98" s="92"/>
      <c r="BP98" s="92"/>
      <c r="BQ98" s="92"/>
      <c r="BR98" s="92"/>
      <c r="BS98" s="74">
        <v>0.95833333333335102</v>
      </c>
      <c r="BT98" s="81"/>
      <c r="BU98" s="81" t="s">
        <v>242</v>
      </c>
      <c r="BV98" s="81" t="s">
        <v>243</v>
      </c>
      <c r="BW98" s="81"/>
      <c r="BX98" s="91" t="s">
        <v>7</v>
      </c>
      <c r="BY98" s="68"/>
      <c r="BZ98" s="88"/>
      <c r="CA98" s="91" t="s">
        <v>52</v>
      </c>
      <c r="CB98" s="68"/>
      <c r="CC98" s="88" t="s">
        <v>54</v>
      </c>
      <c r="CD98" s="81" t="s">
        <v>9</v>
      </c>
      <c r="CE98" s="92"/>
      <c r="CF98" s="92"/>
      <c r="CG98" s="92"/>
      <c r="CH98" s="92"/>
      <c r="CI98" s="92"/>
    </row>
    <row r="99" spans="1:87" x14ac:dyDescent="0.2">
      <c r="A99" s="57" t="s">
        <v>6</v>
      </c>
      <c r="B99" s="79"/>
      <c r="C99" s="79"/>
      <c r="D99" s="60" t="s">
        <v>15</v>
      </c>
      <c r="E99" s="60" t="s">
        <v>32</v>
      </c>
      <c r="F99" s="59" t="s">
        <v>40</v>
      </c>
      <c r="G99" s="79"/>
      <c r="H99" s="60" t="s">
        <v>72</v>
      </c>
      <c r="I99" s="60" t="s">
        <v>23</v>
      </c>
      <c r="J99" s="79"/>
      <c r="K99" s="70" t="s">
        <v>72</v>
      </c>
      <c r="L99" s="74">
        <v>0.96875000000001799</v>
      </c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92"/>
      <c r="BO99" s="92"/>
      <c r="BP99" s="92"/>
      <c r="BQ99" s="92"/>
      <c r="BR99" s="92"/>
      <c r="BS99" s="74">
        <v>0.96875000000001799</v>
      </c>
      <c r="BT99" s="81"/>
      <c r="BU99" s="81" t="s">
        <v>242</v>
      </c>
      <c r="BV99" s="81" t="s">
        <v>243</v>
      </c>
      <c r="BW99" s="81"/>
      <c r="BX99" s="91" t="s">
        <v>7</v>
      </c>
      <c r="BY99" s="68"/>
      <c r="BZ99" s="88"/>
      <c r="CA99" s="91" t="s">
        <v>52</v>
      </c>
      <c r="CB99" s="68"/>
      <c r="CC99" s="88" t="s">
        <v>54</v>
      </c>
      <c r="CD99" s="81" t="s">
        <v>9</v>
      </c>
      <c r="CE99" s="92"/>
      <c r="CF99" s="92"/>
      <c r="CG99" s="92"/>
      <c r="CH99" s="92"/>
      <c r="CI99" s="92"/>
    </row>
    <row r="100" spans="1:87" x14ac:dyDescent="0.2">
      <c r="A100" s="57" t="s">
        <v>6</v>
      </c>
      <c r="B100" s="79"/>
      <c r="C100" s="59" t="s">
        <v>48</v>
      </c>
      <c r="D100" s="60" t="s">
        <v>15</v>
      </c>
      <c r="E100" s="60" t="s">
        <v>32</v>
      </c>
      <c r="F100" s="59" t="s">
        <v>40</v>
      </c>
      <c r="G100" s="79"/>
      <c r="H100" s="60" t="s">
        <v>72</v>
      </c>
      <c r="I100" s="60" t="s">
        <v>23</v>
      </c>
      <c r="J100" s="79"/>
      <c r="K100" s="70" t="s">
        <v>72</v>
      </c>
      <c r="L100" s="74">
        <v>0.97916666666668495</v>
      </c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76">
        <f>-SUM(AC5:AC99)</f>
        <v>-32</v>
      </c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76">
        <f>-SUM(AP6:AP99)</f>
        <v>-81</v>
      </c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92"/>
      <c r="BO100" s="92"/>
      <c r="BP100" s="92"/>
      <c r="BQ100" s="92"/>
      <c r="BR100" s="92"/>
      <c r="BS100" s="74">
        <v>0.97916666666668495</v>
      </c>
      <c r="BT100" s="81" t="s">
        <v>163</v>
      </c>
      <c r="BU100" s="81" t="s">
        <v>242</v>
      </c>
      <c r="BV100" s="81" t="s">
        <v>243</v>
      </c>
      <c r="BW100" s="81"/>
      <c r="BX100" s="91" t="s">
        <v>7</v>
      </c>
      <c r="BY100" s="68"/>
      <c r="BZ100" s="88"/>
      <c r="CA100" s="91"/>
      <c r="CB100" s="96" t="s">
        <v>244</v>
      </c>
      <c r="CC100" s="88" t="s">
        <v>54</v>
      </c>
      <c r="CD100" s="81" t="s">
        <v>9</v>
      </c>
      <c r="CE100" s="92"/>
      <c r="CF100" s="92"/>
      <c r="CG100" s="92"/>
      <c r="CH100" s="92"/>
      <c r="CI100" s="92"/>
    </row>
    <row r="101" spans="1:87" ht="16" thickBot="1" x14ac:dyDescent="0.25">
      <c r="A101" s="104" t="s">
        <v>6</v>
      </c>
      <c r="B101" s="105"/>
      <c r="C101" s="106" t="s">
        <v>48</v>
      </c>
      <c r="D101" s="107" t="s">
        <v>15</v>
      </c>
      <c r="E101" s="107" t="s">
        <v>32</v>
      </c>
      <c r="F101" s="106" t="s">
        <v>40</v>
      </c>
      <c r="G101" s="105"/>
      <c r="H101" s="107" t="s">
        <v>72</v>
      </c>
      <c r="I101" s="107" t="s">
        <v>23</v>
      </c>
      <c r="J101" s="105"/>
      <c r="K101" s="108" t="s">
        <v>72</v>
      </c>
      <c r="L101" s="109">
        <v>0.98958333333335202</v>
      </c>
      <c r="M101" s="103">
        <v>2</v>
      </c>
      <c r="N101" s="103">
        <v>2</v>
      </c>
      <c r="O101" s="103"/>
      <c r="P101" s="103">
        <v>3</v>
      </c>
      <c r="Q101" s="103">
        <v>2</v>
      </c>
      <c r="R101" s="103"/>
      <c r="S101" s="103">
        <v>1</v>
      </c>
      <c r="T101" s="103">
        <v>4</v>
      </c>
      <c r="U101" s="103">
        <v>1</v>
      </c>
      <c r="V101" s="103">
        <v>2</v>
      </c>
      <c r="W101" s="103"/>
      <c r="X101" s="103">
        <v>2</v>
      </c>
      <c r="Y101" s="103">
        <v>1</v>
      </c>
      <c r="Z101" s="103">
        <v>2</v>
      </c>
      <c r="AA101" s="103">
        <v>2</v>
      </c>
      <c r="AB101" s="103"/>
      <c r="AC101" s="103">
        <v>0</v>
      </c>
      <c r="AD101" s="103"/>
      <c r="AE101" s="103"/>
      <c r="AF101" s="103"/>
      <c r="AG101" s="103">
        <v>2</v>
      </c>
      <c r="AH101" s="103"/>
      <c r="AI101" s="103">
        <v>1</v>
      </c>
      <c r="AJ101" s="103"/>
      <c r="AK101" s="103"/>
      <c r="AL101" s="103">
        <v>1</v>
      </c>
      <c r="AM101" s="103">
        <v>3</v>
      </c>
      <c r="AN101" s="103"/>
      <c r="AO101" s="103">
        <v>1</v>
      </c>
      <c r="AP101" s="103"/>
      <c r="AQ101" s="103"/>
      <c r="AR101" s="103"/>
      <c r="AS101" s="103">
        <v>2</v>
      </c>
      <c r="AT101" s="103"/>
      <c r="AU101" s="103">
        <v>1</v>
      </c>
      <c r="AV101" s="103"/>
      <c r="AW101" s="103">
        <v>1</v>
      </c>
      <c r="AX101" s="103"/>
      <c r="AY101" s="103"/>
      <c r="AZ101" s="103">
        <v>8</v>
      </c>
      <c r="BA101" s="103">
        <v>1</v>
      </c>
      <c r="BB101" s="103">
        <v>1</v>
      </c>
      <c r="BC101" s="103">
        <v>4</v>
      </c>
      <c r="BD101" s="81">
        <v>1</v>
      </c>
      <c r="BE101" s="103"/>
      <c r="BF101" s="103"/>
      <c r="BG101" s="103">
        <v>4</v>
      </c>
      <c r="BH101" s="103">
        <v>1</v>
      </c>
      <c r="BI101" s="110" t="s">
        <v>166</v>
      </c>
      <c r="BJ101" s="103"/>
      <c r="BK101" s="103"/>
      <c r="BL101" s="103"/>
      <c r="BM101" s="56">
        <f>SUM(M101:BL101)</f>
        <v>56</v>
      </c>
      <c r="BN101" s="111"/>
      <c r="BO101" s="111"/>
      <c r="BP101" s="111"/>
      <c r="BQ101" s="111"/>
      <c r="BR101" s="111"/>
      <c r="BS101" s="74">
        <v>0.98958333333335202</v>
      </c>
      <c r="BT101" s="103" t="s">
        <v>163</v>
      </c>
      <c r="BU101" s="81" t="s">
        <v>242</v>
      </c>
      <c r="BV101" s="81" t="s">
        <v>243</v>
      </c>
      <c r="BW101" s="103"/>
      <c r="BX101" s="112" t="s">
        <v>7</v>
      </c>
      <c r="BY101" s="68"/>
      <c r="BZ101" s="113"/>
      <c r="CA101" s="112"/>
      <c r="CB101" s="68" t="s">
        <v>11</v>
      </c>
      <c r="CC101" s="114"/>
      <c r="CD101" s="103" t="s">
        <v>9</v>
      </c>
      <c r="CE101" s="111"/>
      <c r="CF101" s="111"/>
      <c r="CG101" s="111"/>
      <c r="CH101" s="111"/>
      <c r="CI101" s="111"/>
    </row>
    <row r="102" spans="1:87" x14ac:dyDescent="0.2">
      <c r="A102" s="115" t="s">
        <v>6</v>
      </c>
      <c r="C102" s="116" t="s">
        <v>48</v>
      </c>
      <c r="D102" s="117" t="s">
        <v>15</v>
      </c>
      <c r="E102" s="117" t="s">
        <v>32</v>
      </c>
      <c r="F102" s="118" t="s">
        <v>40</v>
      </c>
      <c r="I102" s="117" t="s">
        <v>23</v>
      </c>
      <c r="L102" s="119" t="s">
        <v>245</v>
      </c>
      <c r="M102" s="120">
        <f t="shared" ref="M102:BG102" si="0">SUM(M6:M101)</f>
        <v>0</v>
      </c>
      <c r="N102" s="120">
        <f t="shared" si="0"/>
        <v>0</v>
      </c>
      <c r="O102" s="120">
        <f t="shared" si="0"/>
        <v>0</v>
      </c>
      <c r="P102" s="120">
        <f t="shared" si="0"/>
        <v>0</v>
      </c>
      <c r="Q102" s="120">
        <f t="shared" si="0"/>
        <v>0</v>
      </c>
      <c r="R102" s="120">
        <f t="shared" si="0"/>
        <v>0</v>
      </c>
      <c r="S102" s="120">
        <f>SUM(S6:S101)</f>
        <v>0</v>
      </c>
      <c r="T102" s="120">
        <f t="shared" si="0"/>
        <v>0</v>
      </c>
      <c r="U102" s="120">
        <f t="shared" si="0"/>
        <v>0</v>
      </c>
      <c r="V102" s="120">
        <f t="shared" si="0"/>
        <v>0</v>
      </c>
      <c r="W102" s="120">
        <f t="shared" si="0"/>
        <v>0</v>
      </c>
      <c r="X102" s="120">
        <f t="shared" si="0"/>
        <v>0</v>
      </c>
      <c r="Y102" s="120">
        <f t="shared" si="0"/>
        <v>0</v>
      </c>
      <c r="Z102" s="120">
        <f t="shared" si="0"/>
        <v>0</v>
      </c>
      <c r="AA102" s="120">
        <f t="shared" si="0"/>
        <v>0</v>
      </c>
      <c r="AB102" s="120">
        <f t="shared" si="0"/>
        <v>0</v>
      </c>
      <c r="AC102" s="120">
        <f t="shared" si="0"/>
        <v>0</v>
      </c>
      <c r="AD102" s="120">
        <f t="shared" si="0"/>
        <v>0</v>
      </c>
      <c r="AE102" s="120">
        <f t="shared" si="0"/>
        <v>0</v>
      </c>
      <c r="AF102" s="120">
        <f t="shared" si="0"/>
        <v>0</v>
      </c>
      <c r="AG102" s="120">
        <f t="shared" si="0"/>
        <v>0</v>
      </c>
      <c r="AH102" s="120">
        <f t="shared" si="0"/>
        <v>0</v>
      </c>
      <c r="AI102" s="120">
        <f t="shared" si="0"/>
        <v>0</v>
      </c>
      <c r="AJ102" s="120">
        <f t="shared" si="0"/>
        <v>0</v>
      </c>
      <c r="AK102" s="120">
        <f t="shared" si="0"/>
        <v>0</v>
      </c>
      <c r="AL102" s="120">
        <f t="shared" si="0"/>
        <v>0</v>
      </c>
      <c r="AM102" s="120">
        <f t="shared" si="0"/>
        <v>0</v>
      </c>
      <c r="AN102" s="120">
        <f t="shared" si="0"/>
        <v>0</v>
      </c>
      <c r="AO102" s="120">
        <f t="shared" si="0"/>
        <v>0</v>
      </c>
      <c r="AP102" s="120">
        <f t="shared" si="0"/>
        <v>0</v>
      </c>
      <c r="AQ102" s="120">
        <f t="shared" si="0"/>
        <v>0</v>
      </c>
      <c r="AR102" s="120">
        <f t="shared" si="0"/>
        <v>0</v>
      </c>
      <c r="AS102" s="120">
        <f t="shared" si="0"/>
        <v>0</v>
      </c>
      <c r="AT102" s="120">
        <f t="shared" si="0"/>
        <v>0</v>
      </c>
      <c r="AU102" s="120">
        <f t="shared" si="0"/>
        <v>0</v>
      </c>
      <c r="AV102" s="120">
        <f t="shared" si="0"/>
        <v>0</v>
      </c>
      <c r="AW102" s="120">
        <f t="shared" si="0"/>
        <v>0</v>
      </c>
      <c r="AX102" s="120">
        <f t="shared" si="0"/>
        <v>0</v>
      </c>
      <c r="AY102" s="120">
        <f t="shared" si="0"/>
        <v>0</v>
      </c>
      <c r="AZ102" s="120">
        <f t="shared" si="0"/>
        <v>0</v>
      </c>
      <c r="BA102" s="120">
        <f t="shared" si="0"/>
        <v>0</v>
      </c>
      <c r="BB102" s="120">
        <f t="shared" si="0"/>
        <v>0</v>
      </c>
      <c r="BC102" s="120">
        <f t="shared" si="0"/>
        <v>0</v>
      </c>
      <c r="BD102" s="120">
        <f>SUM(BD6:BD101)</f>
        <v>0</v>
      </c>
      <c r="BE102" s="120">
        <f t="shared" si="0"/>
        <v>0</v>
      </c>
      <c r="BF102" s="120">
        <f t="shared" si="0"/>
        <v>0</v>
      </c>
      <c r="BG102" s="120">
        <f t="shared" si="0"/>
        <v>0</v>
      </c>
      <c r="BH102" s="120"/>
      <c r="BI102" s="120"/>
      <c r="BJ102" s="120"/>
      <c r="BK102" s="120"/>
      <c r="BL102" s="120"/>
      <c r="BS102" s="74">
        <v>1.00000000000002</v>
      </c>
      <c r="BT102" s="1" t="s">
        <v>163</v>
      </c>
      <c r="BU102" s="1"/>
      <c r="BV102" s="1"/>
      <c r="BW102" s="1"/>
      <c r="BX102" s="1" t="s">
        <v>7</v>
      </c>
      <c r="BY102" s="1"/>
      <c r="BZ102" s="1"/>
      <c r="CA102" s="1"/>
      <c r="CB102" s="1"/>
      <c r="CD102" s="1" t="s">
        <v>9</v>
      </c>
    </row>
    <row r="103" spans="1:87" x14ac:dyDescent="0.2">
      <c r="A103" s="57" t="s">
        <v>6</v>
      </c>
      <c r="C103" s="59" t="s">
        <v>48</v>
      </c>
      <c r="D103" s="117" t="s">
        <v>15</v>
      </c>
      <c r="E103" s="117" t="s">
        <v>32</v>
      </c>
      <c r="F103" s="118" t="s">
        <v>40</v>
      </c>
      <c r="I103" s="117" t="s">
        <v>23</v>
      </c>
      <c r="L103" s="121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>
        <f>SUM(BC61:BC101)</f>
        <v>26</v>
      </c>
      <c r="BD103" s="120"/>
      <c r="BE103" s="120"/>
      <c r="BF103" s="120"/>
      <c r="BG103" s="120"/>
      <c r="BH103" s="120"/>
      <c r="BI103" s="1"/>
      <c r="BJ103" s="1"/>
      <c r="BK103" s="1"/>
      <c r="BL103" s="1"/>
      <c r="BS103" s="74">
        <v>1.0104166666666901</v>
      </c>
      <c r="BT103" s="1" t="s">
        <v>163</v>
      </c>
      <c r="BU103" s="1"/>
      <c r="BV103" s="1"/>
      <c r="BW103" s="1"/>
      <c r="BX103" s="1" t="s">
        <v>7</v>
      </c>
      <c r="BY103" s="1"/>
      <c r="BZ103" s="1"/>
      <c r="CA103" s="1"/>
      <c r="CB103" s="1"/>
      <c r="CD103" s="1" t="s">
        <v>9</v>
      </c>
    </row>
    <row r="104" spans="1:87" x14ac:dyDescent="0.2">
      <c r="A104" s="57" t="s">
        <v>6</v>
      </c>
      <c r="C104" s="59" t="s">
        <v>48</v>
      </c>
      <c r="D104" s="117" t="s">
        <v>15</v>
      </c>
      <c r="E104" s="117" t="s">
        <v>32</v>
      </c>
      <c r="F104" s="118" t="s">
        <v>40</v>
      </c>
      <c r="I104" s="117" t="s">
        <v>23</v>
      </c>
      <c r="L104" s="121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"/>
      <c r="BJ104" s="1"/>
      <c r="BK104" s="1"/>
      <c r="BL104" s="1"/>
      <c r="BS104" s="74">
        <v>1.0208333333333499</v>
      </c>
      <c r="BT104" s="1"/>
      <c r="BU104" s="1"/>
      <c r="BV104" s="1"/>
      <c r="BW104" s="1"/>
      <c r="BX104" s="1" t="s">
        <v>7</v>
      </c>
      <c r="BY104" s="1"/>
      <c r="BZ104" s="1"/>
      <c r="CA104" s="1"/>
      <c r="CB104" s="1"/>
      <c r="CD104" s="1" t="s">
        <v>9</v>
      </c>
    </row>
    <row r="105" spans="1:87" x14ac:dyDescent="0.2">
      <c r="A105" s="57" t="s">
        <v>6</v>
      </c>
      <c r="C105" s="59" t="s">
        <v>48</v>
      </c>
      <c r="D105" s="117" t="s">
        <v>15</v>
      </c>
      <c r="E105" s="117" t="s">
        <v>32</v>
      </c>
      <c r="F105" s="118" t="s">
        <v>40</v>
      </c>
      <c r="I105" s="117" t="s">
        <v>23</v>
      </c>
      <c r="L105" s="121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"/>
      <c r="BJ105" s="1"/>
      <c r="BK105" s="1"/>
      <c r="BL105" s="1"/>
      <c r="BS105" s="74">
        <v>1.03125000000002</v>
      </c>
      <c r="BT105" s="1"/>
      <c r="BU105" s="1"/>
      <c r="BV105" s="1"/>
      <c r="BW105" s="1"/>
      <c r="BX105" s="1" t="s">
        <v>7</v>
      </c>
      <c r="BY105" s="1"/>
      <c r="BZ105" s="1"/>
      <c r="CA105" s="1"/>
      <c r="CB105" s="1"/>
      <c r="CD105" s="1" t="s">
        <v>9</v>
      </c>
    </row>
    <row r="106" spans="1:87" x14ac:dyDescent="0.2">
      <c r="C106" s="59" t="s">
        <v>48</v>
      </c>
      <c r="D106" s="117" t="s">
        <v>15</v>
      </c>
      <c r="E106" s="117" t="s">
        <v>32</v>
      </c>
      <c r="F106" s="118" t="s">
        <v>40</v>
      </c>
      <c r="I106" s="117" t="s">
        <v>23</v>
      </c>
      <c r="L106" s="121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"/>
      <c r="BJ106" s="1"/>
      <c r="BK106" s="1"/>
      <c r="BL106" s="1"/>
      <c r="BS106" s="74">
        <v>1.0416666666666901</v>
      </c>
      <c r="BT106" s="1"/>
      <c r="BU106" s="1"/>
      <c r="BV106" s="1"/>
      <c r="BW106" s="1"/>
      <c r="BX106" s="1"/>
      <c r="BY106" s="1"/>
      <c r="BZ106" s="1"/>
      <c r="CA106" s="1"/>
      <c r="CB106" s="1"/>
      <c r="CD106" s="1" t="s">
        <v>9</v>
      </c>
    </row>
    <row r="107" spans="1:87" x14ac:dyDescent="0.2">
      <c r="C107" s="59" t="s">
        <v>48</v>
      </c>
      <c r="D107" s="117" t="s">
        <v>15</v>
      </c>
      <c r="E107" s="117" t="s">
        <v>32</v>
      </c>
      <c r="F107" s="118" t="s">
        <v>40</v>
      </c>
      <c r="I107" s="117" t="s">
        <v>23</v>
      </c>
      <c r="L107" s="121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2" t="s">
        <v>246</v>
      </c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"/>
      <c r="BJ107" s="1"/>
      <c r="BK107" s="1"/>
      <c r="BL107" s="1"/>
      <c r="BS107" s="74">
        <v>1.0520833333333499</v>
      </c>
      <c r="BT107" s="1"/>
      <c r="BU107" s="1"/>
      <c r="BV107" s="1"/>
      <c r="BW107" s="1"/>
      <c r="BX107" s="1"/>
      <c r="BY107" s="1"/>
      <c r="BZ107" s="1"/>
      <c r="CA107" s="1"/>
      <c r="CB107" s="1"/>
      <c r="CD107" s="1" t="s">
        <v>9</v>
      </c>
    </row>
    <row r="108" spans="1:87" x14ac:dyDescent="0.2">
      <c r="C108" s="59" t="s">
        <v>48</v>
      </c>
      <c r="D108" s="117" t="s">
        <v>15</v>
      </c>
      <c r="E108" s="117" t="s">
        <v>32</v>
      </c>
      <c r="F108" s="118" t="s">
        <v>40</v>
      </c>
      <c r="I108" s="117" t="s">
        <v>23</v>
      </c>
      <c r="L108" s="121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3" t="s">
        <v>247</v>
      </c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"/>
      <c r="BJ108" s="1"/>
      <c r="BK108" s="1"/>
      <c r="BL108" s="1"/>
      <c r="BS108" s="74">
        <v>1.06250000000002</v>
      </c>
      <c r="BT108" s="1"/>
      <c r="BU108" s="1"/>
      <c r="BV108" s="1"/>
      <c r="BW108" s="1"/>
      <c r="BX108" s="1"/>
      <c r="BY108" s="1"/>
      <c r="BZ108" s="1"/>
      <c r="CA108" s="1"/>
      <c r="CB108" s="1"/>
      <c r="CD108" s="1" t="s">
        <v>9</v>
      </c>
    </row>
    <row r="109" spans="1:87" x14ac:dyDescent="0.2">
      <c r="C109" s="59" t="s">
        <v>48</v>
      </c>
      <c r="D109" s="117" t="s">
        <v>15</v>
      </c>
      <c r="E109" s="117" t="s">
        <v>32</v>
      </c>
      <c r="F109" s="117" t="s">
        <v>40</v>
      </c>
      <c r="I109" s="117" t="s">
        <v>23</v>
      </c>
      <c r="L109" s="121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3" t="s">
        <v>248</v>
      </c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"/>
      <c r="BJ109" s="1"/>
      <c r="BK109" s="1"/>
      <c r="BL109" s="1"/>
      <c r="BS109" s="74">
        <v>1.0729166666666901</v>
      </c>
      <c r="BT109" s="1"/>
      <c r="BU109" s="1"/>
      <c r="BV109" s="1"/>
      <c r="BW109" s="1"/>
      <c r="BX109" s="1"/>
      <c r="BY109" s="1"/>
      <c r="BZ109" s="1"/>
      <c r="CA109" s="1"/>
      <c r="CB109" s="1"/>
      <c r="CD109" s="1" t="s">
        <v>9</v>
      </c>
    </row>
    <row r="110" spans="1:87" x14ac:dyDescent="0.2">
      <c r="C110" s="59" t="s">
        <v>48</v>
      </c>
      <c r="E110" s="117" t="s">
        <v>32</v>
      </c>
      <c r="F110" s="117" t="s">
        <v>40</v>
      </c>
      <c r="I110" s="117" t="s">
        <v>23</v>
      </c>
      <c r="L110" s="121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4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3" t="s">
        <v>249</v>
      </c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"/>
      <c r="BJ110" s="1"/>
      <c r="BK110" s="1"/>
      <c r="BL110" s="1"/>
      <c r="BS110" s="74">
        <v>1.0833333333333499</v>
      </c>
      <c r="BT110" s="1" t="s">
        <v>170</v>
      </c>
      <c r="BU110" s="1"/>
      <c r="BV110" s="1"/>
      <c r="BW110" s="1"/>
      <c r="BX110" s="1"/>
      <c r="BY110" s="1"/>
      <c r="BZ110" s="1"/>
      <c r="CA110" s="1"/>
      <c r="CB110" s="1"/>
    </row>
    <row r="111" spans="1:87" x14ac:dyDescent="0.2">
      <c r="C111" s="59" t="s">
        <v>48</v>
      </c>
      <c r="E111" s="117" t="s">
        <v>32</v>
      </c>
      <c r="F111" s="117" t="s">
        <v>40</v>
      </c>
      <c r="I111" s="117" t="s">
        <v>23</v>
      </c>
      <c r="L111" s="121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3" t="s">
        <v>250</v>
      </c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"/>
      <c r="BJ111" s="1"/>
      <c r="BK111" s="1"/>
      <c r="BL111" s="1"/>
      <c r="BS111" s="74">
        <v>1.09375000000002</v>
      </c>
      <c r="BT111" s="1" t="s">
        <v>170</v>
      </c>
      <c r="BU111" s="1"/>
      <c r="BV111" s="1"/>
      <c r="BW111" s="1"/>
      <c r="BX111" s="1"/>
      <c r="BY111" s="1"/>
      <c r="BZ111" s="1"/>
      <c r="CA111" s="1"/>
      <c r="CB111" s="1"/>
    </row>
    <row r="112" spans="1:87" x14ac:dyDescent="0.2">
      <c r="C112" s="117" t="s">
        <v>48</v>
      </c>
      <c r="E112" s="117" t="s">
        <v>32</v>
      </c>
      <c r="F112" s="117" t="s">
        <v>40</v>
      </c>
      <c r="I112" s="117" t="s">
        <v>23</v>
      </c>
      <c r="L112" s="121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3" t="s">
        <v>251</v>
      </c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"/>
      <c r="BJ112" s="1"/>
      <c r="BK112" s="1"/>
      <c r="BL112" s="1"/>
      <c r="BS112" s="74">
        <v>1.1041666666666901</v>
      </c>
      <c r="BT112" s="1" t="s">
        <v>170</v>
      </c>
      <c r="BU112" s="1"/>
      <c r="BV112" s="1"/>
      <c r="BW112" s="1"/>
      <c r="BX112" s="1"/>
      <c r="BY112" s="1"/>
      <c r="BZ112" s="1"/>
      <c r="CA112" s="1"/>
      <c r="CB112" s="1"/>
    </row>
    <row r="113" spans="3:80" x14ac:dyDescent="0.2">
      <c r="C113" s="117" t="s">
        <v>48</v>
      </c>
      <c r="E113" s="117" t="s">
        <v>32</v>
      </c>
      <c r="F113" s="117" t="s">
        <v>40</v>
      </c>
      <c r="I113" s="117" t="s">
        <v>23</v>
      </c>
      <c r="L113" s="121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3" t="s">
        <v>252</v>
      </c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"/>
      <c r="BJ113" s="1"/>
      <c r="BK113" s="1"/>
      <c r="BL113" s="1"/>
      <c r="BS113" s="74">
        <v>1.1145833333333599</v>
      </c>
      <c r="BT113" s="1" t="s">
        <v>170</v>
      </c>
      <c r="BU113" s="1"/>
      <c r="BV113" s="1"/>
      <c r="BW113" s="1"/>
      <c r="BX113" s="1"/>
      <c r="BY113" s="1"/>
      <c r="BZ113" s="1"/>
      <c r="CA113" s="1"/>
      <c r="CB113" s="1"/>
    </row>
    <row r="114" spans="3:80" x14ac:dyDescent="0.2">
      <c r="C114" s="117" t="s">
        <v>48</v>
      </c>
      <c r="E114" s="117" t="s">
        <v>32</v>
      </c>
      <c r="F114" s="117" t="s">
        <v>40</v>
      </c>
      <c r="L114" s="121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3" t="s">
        <v>253</v>
      </c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"/>
      <c r="BJ114" s="1"/>
      <c r="BK114" s="1"/>
      <c r="BL114" s="1"/>
      <c r="BS114" s="74">
        <v>1.12500000000002</v>
      </c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3:80" x14ac:dyDescent="0.2">
      <c r="C115" s="117" t="s">
        <v>48</v>
      </c>
      <c r="E115" s="117" t="s">
        <v>32</v>
      </c>
      <c r="F115" s="117" t="s">
        <v>40</v>
      </c>
      <c r="L115" s="121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"/>
      <c r="BJ115" s="1"/>
      <c r="BK115" s="1"/>
      <c r="BL115" s="1"/>
      <c r="BS115" s="74">
        <v>1.1354166666666901</v>
      </c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3:80" x14ac:dyDescent="0.2">
      <c r="C116" s="117" t="s">
        <v>48</v>
      </c>
      <c r="E116" s="117" t="s">
        <v>32</v>
      </c>
      <c r="F116" s="117" t="s">
        <v>40</v>
      </c>
      <c r="L116" s="121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"/>
      <c r="BJ116" s="1"/>
      <c r="BK116" s="1"/>
      <c r="BL116" s="1"/>
      <c r="BS116" s="74">
        <v>1.1458333333333599</v>
      </c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3:80" x14ac:dyDescent="0.2">
      <c r="C117" s="117" t="s">
        <v>48</v>
      </c>
      <c r="E117" s="117" t="s">
        <v>32</v>
      </c>
      <c r="F117" s="117" t="s">
        <v>40</v>
      </c>
      <c r="L117" s="121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"/>
      <c r="BJ117" s="1"/>
      <c r="BK117" s="1"/>
      <c r="BL117" s="1"/>
      <c r="BS117" s="74">
        <v>1.15625000000002</v>
      </c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3:80" x14ac:dyDescent="0.2">
      <c r="C118" s="117" t="s">
        <v>48</v>
      </c>
      <c r="F118" s="117" t="s">
        <v>40</v>
      </c>
      <c r="L118" s="121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"/>
      <c r="BJ118" s="1"/>
      <c r="BK118" s="1"/>
      <c r="BL118" s="1"/>
      <c r="BS118" s="74">
        <v>1.1666666666666901</v>
      </c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3:80" x14ac:dyDescent="0.2">
      <c r="C119" s="117" t="s">
        <v>48</v>
      </c>
      <c r="F119" s="117" t="s">
        <v>40</v>
      </c>
      <c r="L119" s="121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"/>
      <c r="BJ119" s="1"/>
      <c r="BK119" s="1"/>
      <c r="BL119" s="1"/>
      <c r="BS119" s="74">
        <v>1.1770833333333599</v>
      </c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3:80" x14ac:dyDescent="0.2">
      <c r="C120" s="117" t="s">
        <v>48</v>
      </c>
      <c r="F120" s="117" t="s">
        <v>40</v>
      </c>
      <c r="L120" s="121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"/>
      <c r="BJ120" s="1"/>
      <c r="BK120" s="1"/>
      <c r="BL120" s="1"/>
      <c r="BS120" s="74">
        <v>1.18750000000002</v>
      </c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3:80" x14ac:dyDescent="0.2">
      <c r="C121" s="117" t="s">
        <v>48</v>
      </c>
      <c r="F121" s="117" t="s">
        <v>40</v>
      </c>
      <c r="L121" s="121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"/>
      <c r="BJ121" s="1"/>
      <c r="BK121" s="1"/>
      <c r="BL121" s="1"/>
      <c r="BS121" s="74">
        <v>1.1979166666666901</v>
      </c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3:80" x14ac:dyDescent="0.2">
      <c r="C122" s="117" t="s">
        <v>48</v>
      </c>
      <c r="L122" s="121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"/>
      <c r="BJ122" s="1"/>
      <c r="BK122" s="1"/>
      <c r="BL122" s="1"/>
      <c r="BS122" s="74">
        <v>1.2083333333333599</v>
      </c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3:80" x14ac:dyDescent="0.2">
      <c r="C123" s="117" t="s">
        <v>48</v>
      </c>
      <c r="L123" s="121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"/>
      <c r="BJ123" s="1"/>
      <c r="BK123" s="1"/>
      <c r="BL123" s="1"/>
      <c r="BS123" s="74">
        <v>1.21875000000002</v>
      </c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3:80" x14ac:dyDescent="0.2">
      <c r="C124" s="117" t="s">
        <v>48</v>
      </c>
      <c r="L124" s="121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"/>
      <c r="BJ124" s="1"/>
      <c r="BK124" s="1"/>
      <c r="BL124" s="1"/>
      <c r="BS124" s="74">
        <v>1.2291666666666901</v>
      </c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3:80" x14ac:dyDescent="0.2">
      <c r="C125" s="117" t="s">
        <v>48</v>
      </c>
      <c r="L125" s="121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"/>
      <c r="BJ125" s="1"/>
      <c r="BK125" s="1"/>
      <c r="BL125" s="1"/>
      <c r="BS125" s="74">
        <v>1.2395833333333599</v>
      </c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3:80" x14ac:dyDescent="0.2">
      <c r="L126" s="121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"/>
      <c r="BJ126" s="1"/>
      <c r="BK126" s="1"/>
      <c r="BL126" s="1"/>
      <c r="BS126" s="74">
        <v>1.25000000000003</v>
      </c>
      <c r="BT126" s="1"/>
      <c r="BU126" s="1"/>
      <c r="BV126" s="1"/>
      <c r="BW126" s="1"/>
      <c r="BX126" s="1"/>
      <c r="BY126" s="1"/>
      <c r="BZ126" s="1"/>
      <c r="CA126" s="1"/>
      <c r="CB126" s="1"/>
    </row>
  </sheetData>
  <mergeCells count="7">
    <mergeCell ref="BX2:CI2"/>
    <mergeCell ref="A2:J2"/>
    <mergeCell ref="K2:K5"/>
    <mergeCell ref="BT2:BT5"/>
    <mergeCell ref="BU2:BU5"/>
    <mergeCell ref="BV2:BV5"/>
    <mergeCell ref="BW2:BW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Qianqian</dc:creator>
  <cp:lastModifiedBy>Tong, Qianqian</cp:lastModifiedBy>
  <dcterms:created xsi:type="dcterms:W3CDTF">2025-10-09T20:04:45Z</dcterms:created>
  <dcterms:modified xsi:type="dcterms:W3CDTF">2025-10-10T15:27:26Z</dcterms:modified>
</cp:coreProperties>
</file>